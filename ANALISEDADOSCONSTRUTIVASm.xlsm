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PolyanaSilva\Documents\BP_VRPTW\"/>
    </mc:Choice>
  </mc:AlternateContent>
  <xr:revisionPtr revIDLastSave="0" documentId="13_ncr:1_{4EABD202-4694-4D60-A378-B6BC29474DBA}" xr6:coauthVersionLast="47" xr6:coauthVersionMax="47" xr10:uidLastSave="{00000000-0000-0000-0000-000000000000}"/>
  <bookViews>
    <workbookView xWindow="-108" yWindow="-108" windowWidth="23256" windowHeight="12456" tabRatio="838" activeTab="8" xr2:uid="{AFBF5964-5A80-4DC3-BEA0-B61EEA129B20}"/>
  </bookViews>
  <sheets>
    <sheet name="GERAL" sheetId="1" r:id="rId1"/>
    <sheet name="Planilha14" sheetId="18" r:id="rId2"/>
    <sheet name="artigo" sheetId="2" r:id="rId3"/>
    <sheet name="ComparacaoComEsemMipNoFinal" sheetId="15" r:id="rId4"/>
    <sheet name="DADOS" sheetId="12" r:id="rId5"/>
    <sheet name="tabela_dados" sheetId="4" r:id="rId6"/>
    <sheet name="variacao_NOIMPROVE" sheetId="3" r:id="rId7"/>
    <sheet name="Resumo_Improve" sheetId="17" r:id="rId8"/>
    <sheet name="MipPeriodico" sheetId="14" r:id="rId9"/>
  </sheets>
  <functionGroups builtInGroupCount="19"/>
  <definedNames>
    <definedName name="_xlnm._FilterDatabase" localSheetId="4" hidden="1">DADOS!$A$1:$H$1</definedName>
    <definedName name="_xlnm._FilterDatabase" localSheetId="5" hidden="1">tabela_dados!$A$1:$V$117</definedName>
    <definedName name="_xlnm._FilterDatabase" localSheetId="6" hidden="1">variacao_NOIMPROVE!$B$1:$X$45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Y5" i="4" l="1"/>
  <c r="Y6" i="4"/>
  <c r="Y7" i="4"/>
  <c r="Y8" i="4"/>
  <c r="Y9" i="4"/>
  <c r="Y10" i="4"/>
  <c r="Y4" i="4"/>
  <c r="AA5" i="4"/>
  <c r="AA6" i="4"/>
  <c r="AA7" i="4"/>
  <c r="AA8" i="4"/>
  <c r="AA9" i="4"/>
  <c r="AA10" i="4"/>
  <c r="AA4" i="4"/>
  <c r="AA15" i="4"/>
  <c r="AA16" i="4"/>
  <c r="AA17" i="4"/>
  <c r="AA18" i="4"/>
  <c r="AA19" i="4"/>
  <c r="AA20" i="4"/>
  <c r="AA14" i="4"/>
  <c r="Y15" i="4"/>
  <c r="Y16" i="4"/>
  <c r="Y17" i="4"/>
  <c r="Y18" i="4"/>
  <c r="Y19" i="4"/>
  <c r="Y20" i="4"/>
  <c r="Y14" i="4"/>
  <c r="AC15" i="4"/>
  <c r="AC16" i="4"/>
  <c r="AC17" i="4"/>
  <c r="AC18" i="4"/>
  <c r="AC19" i="4"/>
  <c r="AC20" i="4"/>
  <c r="AC14" i="4"/>
  <c r="O70" i="4"/>
  <c r="P70" i="4" s="1"/>
  <c r="O61" i="4"/>
  <c r="P61" i="4" s="1"/>
  <c r="O76" i="4"/>
  <c r="O71" i="4"/>
  <c r="P71" i="4" s="1"/>
  <c r="N93" i="4"/>
  <c r="N41" i="4" s="1"/>
  <c r="N94" i="4"/>
  <c r="P94" i="4" s="1"/>
  <c r="N95" i="4"/>
  <c r="P95" i="4" s="1"/>
  <c r="N96" i="4"/>
  <c r="N56" i="4" s="1"/>
  <c r="N88" i="4"/>
  <c r="P88" i="4" s="1"/>
  <c r="P3" i="4"/>
  <c r="P4" i="4"/>
  <c r="P5" i="4"/>
  <c r="P6" i="4"/>
  <c r="P7" i="4"/>
  <c r="P8" i="4"/>
  <c r="P9" i="4"/>
  <c r="P10" i="4"/>
  <c r="P11" i="4"/>
  <c r="P57" i="4"/>
  <c r="P58" i="4"/>
  <c r="P59" i="4"/>
  <c r="P60" i="4"/>
  <c r="P62" i="4"/>
  <c r="P63" i="4"/>
  <c r="P64" i="4"/>
  <c r="P65" i="4"/>
  <c r="P66" i="4"/>
  <c r="P67" i="4"/>
  <c r="P68" i="4"/>
  <c r="P69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2" i="4"/>
  <c r="N92" i="4"/>
  <c r="N36" i="4" s="1"/>
  <c r="N35" i="4" s="1"/>
  <c r="N34" i="4" s="1"/>
  <c r="N33" i="4" s="1"/>
  <c r="N32" i="4" s="1"/>
  <c r="P32" i="4" s="1"/>
  <c r="O31" i="4"/>
  <c r="N91" i="4"/>
  <c r="N31" i="4" s="1"/>
  <c r="N30" i="4" s="1"/>
  <c r="N29" i="4" s="1"/>
  <c r="N28" i="4" s="1"/>
  <c r="N27" i="4" s="1"/>
  <c r="P27" i="4" s="1"/>
  <c r="N90" i="4"/>
  <c r="N26" i="4" s="1"/>
  <c r="N25" i="4" s="1"/>
  <c r="N24" i="4" s="1"/>
  <c r="N23" i="4" s="1"/>
  <c r="N22" i="4" s="1"/>
  <c r="P22" i="4" s="1"/>
  <c r="N89" i="4"/>
  <c r="N21" i="4" s="1"/>
  <c r="N20" i="4" s="1"/>
  <c r="N19" i="4" s="1"/>
  <c r="N18" i="4" s="1"/>
  <c r="N17" i="4" s="1"/>
  <c r="P17" i="4" s="1"/>
  <c r="E99" i="4"/>
  <c r="E98" i="4"/>
  <c r="P93" i="4" l="1"/>
  <c r="N40" i="4"/>
  <c r="P41" i="4"/>
  <c r="N46" i="4"/>
  <c r="N51" i="4"/>
  <c r="P96" i="4"/>
  <c r="P56" i="4"/>
  <c r="N55" i="4"/>
  <c r="N16" i="4"/>
  <c r="P31" i="4"/>
  <c r="P21" i="4"/>
  <c r="P20" i="4"/>
  <c r="P36" i="4"/>
  <c r="P34" i="4"/>
  <c r="P23" i="4"/>
  <c r="P19" i="4"/>
  <c r="P18" i="4"/>
  <c r="P35" i="4"/>
  <c r="P33" i="4"/>
  <c r="P92" i="4"/>
  <c r="P91" i="4"/>
  <c r="P90" i="4"/>
  <c r="P30" i="4"/>
  <c r="P89" i="4"/>
  <c r="P29" i="4"/>
  <c r="P28" i="4"/>
  <c r="P26" i="4"/>
  <c r="P25" i="4"/>
  <c r="P24" i="4"/>
  <c r="E100" i="4"/>
  <c r="N39" i="4" l="1"/>
  <c r="P40" i="4"/>
  <c r="P46" i="4"/>
  <c r="N45" i="4"/>
  <c r="P51" i="4"/>
  <c r="N50" i="4"/>
  <c r="P50" i="4" s="1"/>
  <c r="N49" i="4"/>
  <c r="P55" i="4"/>
  <c r="N54" i="4"/>
  <c r="P16" i="4"/>
  <c r="N15" i="4"/>
  <c r="E101" i="4"/>
  <c r="J13" i="18"/>
  <c r="AQ4" i="1"/>
  <c r="F3" i="15"/>
  <c r="F4" i="15"/>
  <c r="F5" i="15"/>
  <c r="F6" i="15"/>
  <c r="F7" i="15"/>
  <c r="F8" i="15"/>
  <c r="F2" i="15"/>
  <c r="I3" i="15"/>
  <c r="I4" i="15"/>
  <c r="I5" i="15"/>
  <c r="I6" i="15"/>
  <c r="I7" i="15"/>
  <c r="I8" i="15"/>
  <c r="I2" i="15"/>
  <c r="AM54" i="1"/>
  <c r="AM55" i="1"/>
  <c r="AM56" i="1"/>
  <c r="AM57" i="1"/>
  <c r="AM58" i="1"/>
  <c r="AM59" i="1"/>
  <c r="AM60" i="1"/>
  <c r="AM61" i="1"/>
  <c r="AM62" i="1"/>
  <c r="AM63" i="1"/>
  <c r="AM64" i="1"/>
  <c r="AM53" i="1"/>
  <c r="AQ64" i="1"/>
  <c r="AP64" i="1"/>
  <c r="AQ63" i="1"/>
  <c r="AP63" i="1"/>
  <c r="AQ62" i="1"/>
  <c r="AP62" i="1"/>
  <c r="AQ61" i="1"/>
  <c r="AP61" i="1"/>
  <c r="AQ60" i="1"/>
  <c r="AP60" i="1"/>
  <c r="AQ59" i="1"/>
  <c r="AP59" i="1"/>
  <c r="AQ58" i="1"/>
  <c r="AP58" i="1"/>
  <c r="AQ57" i="1"/>
  <c r="AP57" i="1"/>
  <c r="AQ56" i="1"/>
  <c r="AP56" i="1"/>
  <c r="AQ55" i="1"/>
  <c r="AP55" i="1"/>
  <c r="AQ54" i="1"/>
  <c r="AP54" i="1"/>
  <c r="AQ53" i="1"/>
  <c r="AP53" i="1"/>
  <c r="AM35" i="1"/>
  <c r="AM36" i="1"/>
  <c r="AM37" i="1"/>
  <c r="AM38" i="1"/>
  <c r="AM39" i="1"/>
  <c r="AM40" i="1"/>
  <c r="AM41" i="1"/>
  <c r="AM42" i="1"/>
  <c r="AM43" i="1"/>
  <c r="AM44" i="1"/>
  <c r="AM45" i="1"/>
  <c r="AM34" i="1"/>
  <c r="AQ35" i="1"/>
  <c r="AQ36" i="1"/>
  <c r="AQ37" i="1"/>
  <c r="AQ38" i="1"/>
  <c r="AQ39" i="1"/>
  <c r="AQ40" i="1"/>
  <c r="AQ41" i="1"/>
  <c r="AQ42" i="1"/>
  <c r="AQ43" i="1"/>
  <c r="AQ44" i="1"/>
  <c r="AQ45" i="1"/>
  <c r="AQ34" i="1"/>
  <c r="AP35" i="1"/>
  <c r="AP36" i="1"/>
  <c r="AP37" i="1"/>
  <c r="AP38" i="1"/>
  <c r="AP39" i="1"/>
  <c r="AP40" i="1"/>
  <c r="AP41" i="1"/>
  <c r="AP42" i="1"/>
  <c r="AP43" i="1"/>
  <c r="AP44" i="1"/>
  <c r="AP45" i="1"/>
  <c r="AP34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P25" i="1"/>
  <c r="AQ25" i="1"/>
  <c r="AP26" i="1"/>
  <c r="AQ26" i="1"/>
  <c r="AP18" i="1"/>
  <c r="AQ18" i="1"/>
  <c r="AP3" i="1"/>
  <c r="BB6" i="1"/>
  <c r="AR102" i="4"/>
  <c r="AW28" i="1"/>
  <c r="AW29" i="1"/>
  <c r="AW30" i="1"/>
  <c r="AW31" i="1"/>
  <c r="AW32" i="1"/>
  <c r="AW33" i="1"/>
  <c r="BB7" i="1"/>
  <c r="BA33" i="1"/>
  <c r="BA32" i="1"/>
  <c r="BA31" i="1"/>
  <c r="BA30" i="1"/>
  <c r="BA29" i="1"/>
  <c r="BA28" i="1"/>
  <c r="I86" i="1"/>
  <c r="I87" i="1"/>
  <c r="I88" i="1"/>
  <c r="I89" i="1"/>
  <c r="I90" i="1"/>
  <c r="I91" i="1"/>
  <c r="I85" i="1"/>
  <c r="H86" i="1"/>
  <c r="H87" i="1"/>
  <c r="H88" i="1"/>
  <c r="H89" i="1"/>
  <c r="H90" i="1"/>
  <c r="H91" i="1"/>
  <c r="BB11" i="1"/>
  <c r="H85" i="1"/>
  <c r="AP4" i="1"/>
  <c r="AP5" i="1"/>
  <c r="AP6" i="1"/>
  <c r="AP7" i="1"/>
  <c r="AP8" i="1"/>
  <c r="AP9" i="1"/>
  <c r="AP10" i="1"/>
  <c r="AP11" i="1"/>
  <c r="AQ5" i="1"/>
  <c r="AQ6" i="1"/>
  <c r="AQ7" i="1"/>
  <c r="AQ8" i="1"/>
  <c r="AQ9" i="1"/>
  <c r="AQ10" i="1"/>
  <c r="AQ11" i="1"/>
  <c r="AQ3" i="1"/>
  <c r="BB8" i="1"/>
  <c r="BB9" i="1"/>
  <c r="BB10" i="1"/>
  <c r="N38" i="4" l="1"/>
  <c r="P39" i="4"/>
  <c r="N44" i="4"/>
  <c r="P45" i="4"/>
  <c r="P49" i="4"/>
  <c r="N48" i="4"/>
  <c r="P54" i="4"/>
  <c r="N53" i="4"/>
  <c r="N14" i="4"/>
  <c r="N12" i="4" s="1"/>
  <c r="P12" i="4" s="1"/>
  <c r="P15" i="4"/>
  <c r="E102" i="4"/>
  <c r="N37" i="4" l="1"/>
  <c r="P37" i="4" s="1"/>
  <c r="P38" i="4"/>
  <c r="P44" i="4"/>
  <c r="N43" i="4"/>
  <c r="P48" i="4"/>
  <c r="N47" i="4"/>
  <c r="P47" i="4" s="1"/>
  <c r="P53" i="4"/>
  <c r="N52" i="4"/>
  <c r="P52" i="4" s="1"/>
  <c r="P14" i="4"/>
  <c r="N13" i="4"/>
  <c r="P13" i="4" s="1"/>
  <c r="E103" i="4"/>
  <c r="P43" i="4" l="1"/>
  <c r="N42" i="4"/>
  <c r="P42" i="4" s="1"/>
  <c r="E104" i="4"/>
  <c r="E105" i="4" l="1"/>
  <c r="E106" i="4" l="1"/>
  <c r="E107" i="4" l="1"/>
  <c r="E108" i="4" l="1"/>
  <c r="E109" i="4" l="1"/>
  <c r="E110" i="4" s="1"/>
  <c r="E111" i="4" s="1"/>
  <c r="E112" i="4" s="1"/>
  <c r="E113" i="4" s="1"/>
  <c r="E114" i="4" s="1"/>
  <c r="E115" i="4" s="1"/>
  <c r="E116" i="4" s="1"/>
  <c r="E117" i="4" s="1"/>
  <c r="AX8" i="1"/>
  <c r="AX9" i="1"/>
  <c r="AC9" i="4" l="1"/>
  <c r="AC10" i="4"/>
  <c r="AC8" i="4"/>
  <c r="AC7" i="4"/>
  <c r="AC6" i="4"/>
  <c r="AC5" i="4"/>
  <c r="AC4" i="4"/>
  <c r="AX18" i="1"/>
  <c r="AZ9" i="1"/>
  <c r="AX21" i="1"/>
  <c r="AX10" i="1"/>
  <c r="AX19" i="1"/>
  <c r="AX11" i="1"/>
  <c r="AY30" i="1"/>
  <c r="AZ6" i="1"/>
  <c r="AX17" i="1"/>
  <c r="AX20" i="1"/>
  <c r="AY31" i="1"/>
  <c r="AX7" i="1"/>
  <c r="AZ7" i="1"/>
  <c r="AY33" i="1"/>
  <c r="AZ11" i="1"/>
  <c r="AY29" i="1"/>
  <c r="AX6" i="1"/>
  <c r="AZ10" i="1"/>
  <c r="AX16" i="1"/>
  <c r="AY32" i="1"/>
  <c r="AY28" i="1"/>
  <c r="AZ8" i="1"/>
</calcChain>
</file>

<file path=xl/sharedStrings.xml><?xml version="1.0" encoding="utf-8"?>
<sst xmlns="http://schemas.openxmlformats.org/spreadsheetml/2006/main" count="3431" uniqueCount="515">
  <si>
    <t>tam25_cap200_tabu0_inst0_cons10</t>
  </si>
  <si>
    <t>PD</t>
  </si>
  <si>
    <t>V0: [0,12,9,20,1,26] ; V1: [0,11,19,10,26] ; V2: [0,18,26] ; V3: [0,23,22,4,26] ; V4: [0,7,8,17,26] ; V5: [0,5,16,6,26] ; V6: [0,2,21,3,24,25,26] ; V7: [0,14,15,13,26]</t>
  </si>
  <si>
    <t>V0: [0,14,15,13,26] ; V1: [0,12,9,20,1,26] ; V2: [0,23,22,4,25,26] ; V3: [0,5,16,6,26] ; V4: [0,11,19,10,26] ; V5: [0,18,26] ; V6: [0,2,21,3,24,26] ; V7: [0,7,8,17,26]</t>
  </si>
  <si>
    <t>V0: [0,14,16,6,13,26] ; V1: [0,3,9,20,1,26] ; V2: [0,7,11,19,10,26] ; V3: [0,2,15,22,4,25,26] ; V4: [0,18,26] ; V5: [0,8,17,5,26] ; V6: [0,21,23,24,12,26]</t>
  </si>
  <si>
    <t>V0: [0,14,16,6,13,26] ; V1: [0,8,17,5,26] ; V2: [0,2,15,22,4,25,26] ; V3: [0,18,26] ; V4: [0,3,9,20,1,26] ; V5: [0,21,23,24,12,26] ; V6: [0,7,11,19,10,26]</t>
  </si>
  <si>
    <t>V0: [0,7,19,11,10,26] ; V1: [0,21,23,22,2,4,25,12,26] ; V2: [0,14,15,6,13,26] ; V3: [0,3,24,9,20,1,26] ; V4: [0,18,8,16,17,5,26]</t>
  </si>
  <si>
    <t>V0: [0,12,24,3,9,10,20,1,26] ; V1: [0,2,15,14,16,17,5,26] ; V2: [0,21,23,22,4,25,26] ; V3: [0,7,19,11,8,18,26] ; V4: [0,6,13,26]</t>
  </si>
  <si>
    <t>SEM_SEQUENCIA_EXATO</t>
  </si>
  <si>
    <t>V0: [0,2,15,14,16,17,5,26] ; V1: [0,7,19,11,8,18,6,13,26] ; V2: [0,21,22,23,4,25,26] ; V3: [0,12,24,3,9,20,10,1,26]</t>
  </si>
  <si>
    <t>V0: [0,5,14,16,6,26] ; V1: [0,12,9,3,24,25,26] ; V2: [0,2,15,13,26] ; V3: [0,21,23,22,4,26] ; V4: [0,7,18,8,17,26] ; V5: [0,19,11,10,20,1,26]</t>
  </si>
  <si>
    <t>V0: [0,12,9,3,24,26] ; V1: [0,5,14,16,6,26] ; V2: [0,7,18,8,17,26] ; V3: [0,19,11,10,20,1,26] ; V4: [0,2,15,13,26] ; V5: [0,21,23,22,4,25,26]</t>
  </si>
  <si>
    <t>V0: [0,2,15,23,22,4,25,21,26] ; V1: [0,14,16,6,13,26] ; V2: [0,7,19,11,10,26] ; V3: [0,18,8,17,5,26] ; V4: [0,1,9,20,3,24,12,26]</t>
  </si>
  <si>
    <t>V0: [0,18,8,17,5,26] ; V1: [0,14,16,6,13,26] ; V2: [0,2,15,23,22,4,25,21,26] ; V3: [0,7,19,11,10,26] ; V4: [0,1,9,20,3,24,12,26]</t>
  </si>
  <si>
    <t>V0: [0,18,7,11,19,8,17,16,5,26] ; V1: [0,12,3,9,20,10,1,26] ; V2: [0,21,23,22,4,25,24,26] ; V3: [0,2,15,14,6,13,26]</t>
  </si>
  <si>
    <t>V0: [0,19,11,7,8,17,18,26] ; V1: [0,10,20,9,3,12,1,26] ; V2: [0,5,16,14,6,13,21,26] ; V3: [0,2,15,23,22,4,25,24,26]</t>
  </si>
  <si>
    <t>V0: [0,21,22,23,4,25,24,26] ; V1: [0,2,15,14,16,17,5,6,13,26] ; V2: [0,7,10,11,19,8,18,26] ; V3: [0,1,20,9,3,12,26]</t>
  </si>
  <si>
    <t>V0: [0,2,15,14,16,17,13,26] ; V1: [0,5,8,18,6,26] ; V2: [0,21,22,23,4,25,24,26] ; V3: [0,12,3,9,20,1,26] ; V4: [0,7,19,11,10,26]</t>
  </si>
  <si>
    <t>V0: [0,21,22,23,4,25,24,26] ; V1: [0,2,15,14,16,17,13,26] ; V2: [0,12,3,9,20,1,26] ; V3: [0,7,19,11,10,26] ; V4: [0,5,8,18,6,26]</t>
  </si>
  <si>
    <t>V0: [0,18,8,17,6,26] ; V1: [0,5,16,14,15,22,23,13,26] ; V2: [0,11,19,7,10,20,9,1,26] ; V3: [0,2,21,12,3,24,25,4,26]</t>
  </si>
  <si>
    <t>V0: [0,2,15,14,16,6,13,26] ; V1: [0,7,11,19,8,18,17,5,26] ; V2: [0,21,23,22,4,25,24,26] ; V3: [0,12,3,9,20,10,1,26]</t>
  </si>
  <si>
    <t>V0: [0,18,8,7,19,11,10,26] ; V1: [0,21,22,23,4,25,24,26] ; V2: [0,2,15,14,16,17,5,6,13,26] ; V3: [0,12,3,9,20,1,26]</t>
  </si>
  <si>
    <t>V0: [0,21,22,23,25,4,26] ; V1: [0,2,15,14,16,17,5,6,13,26] ; V2: [0,18,8,7,19,11,10,26] ; V3: [0,12,24,3,9,20,1,26]</t>
  </si>
  <si>
    <t>V0: [0,20,22,24,6,25,9,11,10,8,21,26] ; V1: [0,23,18,19,16,14,12,15,17,13,26] ; V2: [0,5,2,1,7,3,4,26]</t>
  </si>
  <si>
    <t>V0: [0,20,22,24,6,23,18,17,25,21,26] ; V1: [0,5,2,1,7,3,4,26] ; V2: [0,19,16,14,12,15,13,9,11,10,8,26]</t>
  </si>
  <si>
    <t>V0: [0,21,12,16,14,15,13,9,11,10,26] ; V1: [0,4,3,7,1,2,5,26] ; V2: [0,20,22,24,6,23,18,19,17,25,8,26]</t>
  </si>
  <si>
    <t>V0: [0,20,22,24,21,26] ; V1: [0,4,3,7,1,2,5,17,13,25,8,26] ; V2: [0,6,23,18,19,16,14,12,15,9,11,10,26]</t>
  </si>
  <si>
    <t>V0: [0,20,22,24,6,23,19,15,17,13,9,11,10,26] ; V1: [0,21,25,18,16,14,12,8,26] ; V2: [0,4,3,7,1,2,5,26]</t>
  </si>
  <si>
    <t>SEM_SEQUENCIA_BP</t>
  </si>
  <si>
    <t>V0: [0,4,3,7,1,2,12,14,16,13,11,5,26] ; V1: [0,22,21,8,26] ; V2: [0,20,24,6,23,18,19,15,17,25,9,10,26]</t>
  </si>
  <si>
    <t>V0: [0,4,3,7,1,2,5,11,10,8,22,24,6,20,26] ; V1: [0,17,18,19,16,14,12,15,13,9,26] ; V2: [0,23,25,21,26]</t>
  </si>
  <si>
    <t>run_id</t>
  </si>
  <si>
    <t>arquivo_instancia</t>
  </si>
  <si>
    <t>ninst</t>
  </si>
  <si>
    <t>tem_janelas</t>
  </si>
  <si>
    <t>heuristica_retirada</t>
  </si>
  <si>
    <t>tamanho_clientes</t>
  </si>
  <si>
    <t>nos_rede</t>
  </si>
  <si>
    <t>veiculos</t>
  </si>
  <si>
    <t>capacidade</t>
  </si>
  <si>
    <t>tabu</t>
  </si>
  <si>
    <t>tipo_geracao</t>
  </si>
  <si>
    <t>tempo_exato</t>
  </si>
  <si>
    <t>tempo_bp</t>
  </si>
  <si>
    <t>fo_exato</t>
  </si>
  <si>
    <t>fo_bp</t>
  </si>
  <si>
    <t>gap_pct</t>
  </si>
  <si>
    <t>igual_exato</t>
  </si>
  <si>
    <t>nos_bp</t>
  </si>
  <si>
    <t>colunas_bp</t>
  </si>
  <si>
    <t>seq_exato</t>
  </si>
  <si>
    <t>seq_bp</t>
  </si>
  <si>
    <t>timestamp</t>
  </si>
  <si>
    <t>GAP</t>
  </si>
  <si>
    <t>heuristica</t>
  </si>
  <si>
    <t>MÁXIMO</t>
  </si>
  <si>
    <t>inst</t>
  </si>
  <si>
    <t>MÍNIMO</t>
  </si>
  <si>
    <t>MÉDIA</t>
  </si>
  <si>
    <t>instancias/c202,txt</t>
  </si>
  <si>
    <t>instancias/r101,txt</t>
  </si>
  <si>
    <t>inserção com melhoria</t>
  </si>
  <si>
    <t>vns_ com acrescimo</t>
  </si>
  <si>
    <t>sem pd</t>
  </si>
  <si>
    <t>instancias/c201,txt</t>
  </si>
  <si>
    <t>apenas pd</t>
  </si>
  <si>
    <t>instancias/r102,txt</t>
  </si>
  <si>
    <t>todas</t>
  </si>
  <si>
    <t>instancias/c109,txt</t>
  </si>
  <si>
    <t>TIME</t>
  </si>
  <si>
    <t>instancias/c203,txt</t>
  </si>
  <si>
    <t>instancias/r112,txt</t>
  </si>
  <si>
    <t>instancias/r103,txt</t>
  </si>
  <si>
    <t>instancias/r104,txt</t>
  </si>
  <si>
    <t>instancias/r105,txt</t>
  </si>
  <si>
    <t>instancias/r106,txt</t>
  </si>
  <si>
    <t>instancias/r107,txt</t>
  </si>
  <si>
    <t>instancias/r108,txt</t>
  </si>
  <si>
    <t>instancias/r109,txt</t>
  </si>
  <si>
    <t>instancias/r110,txt</t>
  </si>
  <si>
    <t>instancias/r111,txt</t>
  </si>
  <si>
    <t>instancias/c204,txt</t>
  </si>
  <si>
    <t>instancias/c205,txt</t>
  </si>
  <si>
    <t>V0: [0,23,18,19,16,14,12,15,17,13,26] ; V1: [0,20,22,24,6,25,9,11,10,8,21,26] ; V2: [0,5,2,1,7,3,4,26]</t>
  </si>
  <si>
    <t>V0: [0,20,22,24,6,23,18,19,17,25,21,8,26] ; V1: [0,2,12,16,14,15,13,9,11,10,26] ; V2: [0,5,1,7,3,4,26]</t>
  </si>
  <si>
    <t>instancias/c206,txt</t>
  </si>
  <si>
    <t>V0: [0,5,2,1,7,3,4,26] ; V1: [0,20,22,24,6,23,18,19,17,25,21,26] ; V2: [0,12,14,16,15,13,9,11,10,8,26]</t>
  </si>
  <si>
    <t>V0: [0,20,22,24,6,23,18,19,17,25,21,8,26] ; V1: [0,5,1,7,3,4,26] ; V2: [0,2,12,14,16,15,13,9,11,10,26]</t>
  </si>
  <si>
    <t>instancias/c207,txt</t>
  </si>
  <si>
    <t>V0: [0,5,2,1,7,3,4,26] ; V1: [0,8,9,15,19,16,14,12,11,10,26] ; V2: [0,20,22,24,6,23,18,17,13,25,21,26]</t>
  </si>
  <si>
    <t>V0: [0,5,2,1,7,3,4,11,9,13,25,8,26] ; V1: [0,6,23,17,18,19,15,16,14,12,10,26] ; V2: [0,20,24,22,21,26]</t>
  </si>
  <si>
    <t>instancias/c208,txt</t>
  </si>
  <si>
    <t>V0: [0,12,14,16,19,15,13,9,11,10,8,26] ; V1: [0,5,2,1,7,3,4,26] ; V2: [0,20,22,24,6,23,18,17,25,21,26]</t>
  </si>
  <si>
    <t>V0: [0,13,15,17,25,21,8,26] ; V1: [0,20,22,24,6,23,18,19,16,14,12,9,11,10,26] ; V2: [0,5,2,1,7,3,4,26]</t>
  </si>
  <si>
    <t>Problema</t>
  </si>
  <si>
    <t>Nodes</t>
  </si>
  <si>
    <t>Arcs</t>
  </si>
  <si>
    <t>LP</t>
  </si>
  <si>
    <t>IP</t>
  </si>
  <si>
    <t>Vehicles</t>
  </si>
  <si>
    <t>BB_Nodes</t>
  </si>
  <si>
    <t>Columns</t>
  </si>
  <si>
    <t>CPU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</si>
  <si>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</si>
  <si>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</si>
  <si>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</si>
  <si>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</si>
  <si>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</si>
  <si>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</si>
  <si>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</si>
  <si>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</si>
  <si>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</si>
  <si>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</si>
  <si>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</si>
  <si>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</si>
  <si>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</si>
  <si>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</si>
  <si>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</si>
  <si>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</si>
  <si>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</si>
  <si>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</si>
  <si>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</si>
  <si>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</si>
  <si>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</si>
  <si>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RC101</t>
  </si>
  <si>
    <t>RC102</t>
  </si>
  <si>
    <t>RC103</t>
  </si>
  <si>
    <t>RC104</t>
  </si>
  <si>
    <t>RC105</t>
  </si>
  <si>
    <t>RC106</t>
  </si>
  <si>
    <t>RC107</t>
  </si>
  <si>
    <t>RC108</t>
  </si>
  <si>
    <t>ARTIGO BASE</t>
  </si>
  <si>
    <t>construtivas</t>
  </si>
  <si>
    <t>instancias/c101N.txt</t>
  </si>
  <si>
    <t>V0: [0,13,17,18,19,15,16,14,12,26] ; V1: [0,20,24,25,23,22,21,26] ; V2: [0,5,3,7,8,10,11,9,6,4,2,1,26]</t>
  </si>
  <si>
    <t>V0: [0,5,3,7,8,10,11,9,6,4,2,1,26] ; V1: [0,20,24,25,23,22,21,26] ; V2: [0,13,17,18,19,15,16,14,12,26]</t>
  </si>
  <si>
    <t>instancias/c102.txt</t>
  </si>
  <si>
    <t>V0: [0,7,8,10,11,9,6,4,2,1,3,5,26] ; V1: [0,20,24,25,23,22,21,26] ; V2: [0,13,17,18,19,15,16,14,12,26]</t>
  </si>
  <si>
    <t>V0: [0,13,17,18,19,15,16,14,12,26] ; V1: [0,20,24,25,23,22,21,26] ; V2: [0,7,8,10,11,9,6,4,2,1,3,5,26]</t>
  </si>
  <si>
    <t>instancias/c103.txt</t>
  </si>
  <si>
    <t>V0: [0,20,24,25,23,22,21,26] ; V1: [0,13,17,18,19,15,16,14,12,26] ; V2: [0,7,8,10,11,9,6,4,2,1,3,5,26]</t>
  </si>
  <si>
    <t>instancias/c104.txt</t>
  </si>
  <si>
    <t>V0: [0,7,8,11,9,6,4,2,1,3,5,26] ; V1: [0,20,24,25,23,22,21,26] ; V2: [0,13,17,18,19,15,16,14,12,10,26]</t>
  </si>
  <si>
    <t>V0: [0,20,24,25,23,22,21,26] ; V1: [0,13,15,12,14,16,19,18,17,10,26] ; V2: [0,7,8,11,9,6,4,2,1,3,5,26]</t>
  </si>
  <si>
    <t>instancias/c105.txt</t>
  </si>
  <si>
    <t>V0: [0,13,17,18,19,15,16,14,12,26] ; V1: [0,5,3,7,8,10,11,9,6,4,2,1,26] ; V2: [0,20,24,25,23,22,21,26]</t>
  </si>
  <si>
    <t>V0: [0,5,3,7,8,10,11,9,6,4,2,1,26] ; V1: [0,13,17,18,19,15,16,14,12,26] ; V2: [0,20,24,25,23,22,21,26]</t>
  </si>
  <si>
    <t>instancias/c106.txt</t>
  </si>
  <si>
    <t>V0: [0,20,24,25,23,22,21,26] ; V1: [0,5,3,7,8,10,11,9,6,4,2,1,26] ; V2: [0,13,17,18,19,15,16,14,12,26]</t>
  </si>
  <si>
    <t>instancias/c107.txt</t>
  </si>
  <si>
    <t>instancias/c108.txt</t>
  </si>
  <si>
    <t>V0: [0,20,24,25,23,22,21,26] ; V1: [0,13,17,18,19,15,16,14,12,26] ; V2: [0,5,3,7,8,10,11,9,6,4,2,1,26]</t>
  </si>
  <si>
    <t>instancias/c109.txt</t>
  </si>
  <si>
    <t>LITERATURA</t>
  </si>
  <si>
    <t>SEM MIP</t>
  </si>
  <si>
    <t>618,3299</t>
  </si>
  <si>
    <t>V0: [0,12,9,20,1,26] ; V1: [0,7,8,17,26] ; V2: [0,23,22,4,26] ; V3: [0,2,21,3,24,25,26] ; V4: [0,14,15,13,26] ; V5: [0,18,26] ; V6: [0,11,19,10,26] ; V7: [0,5,16,6,26]</t>
  </si>
  <si>
    <t>548,1078</t>
  </si>
  <si>
    <t>V0: [0,3,9,20,1,26] ; V1: [0,8,17,5,26] ; V2: [0,21,23,24,12,26] ; V3: [0,7,11,19,10,26] ; V4: [0,18,26] ; V5: [0,14,16,6,13,26] ; V6: [0,2,15,22,4,25,26]</t>
  </si>
  <si>
    <t>468,2479</t>
  </si>
  <si>
    <t>455,6982</t>
  </si>
  <si>
    <t>V0: [0,7,19,11,10,26] ; V1: [0,2,21,23,22,4,25,26] ; V2: [0,14,15,6,13,26] ; V3: [0,1,20,9,3,24,12,26] ; V4: [0,18,8,17,16,5,26]</t>
  </si>
  <si>
    <t>V0: [0,12,24,3,9,10,20,1,26] ; V1: [0,21,23,22,4,25,26] ; V2: [0,7,19,11,8,18,26] ; V3: [0,2,15,14,16,17,5,26] ; V4: [0,6,13,26]</t>
  </si>
  <si>
    <t>453,6869</t>
  </si>
  <si>
    <t>417,9612</t>
  </si>
  <si>
    <t>V0: [0,15,16,14,13,26] ; V1: [0,21,22,23,4,2,6,26] ; V2: [0,7,19,11,8,17,5,18,26] ; V3: [0,1,10,20,9,3,24,25,12,26]</t>
  </si>
  <si>
    <t>V0: [0,12,24,3,9,20,10,1,26] ; V1: [0,2,15,14,16,17,5,26] ; V2: [0,7,19,11,8,18,6,13,26] ; V3: [0,21,22,23,4,25,26]</t>
  </si>
  <si>
    <t>531,5386</t>
  </si>
  <si>
    <t>V0: [0,19,11,10,20,1,26] ; V1: [0,21,23,22,4,26] ; V2: [0,7,18,8,17,26] ; V3: [0,2,15,13,26] ; V4: [0,12,9,3,24,25,26] ; V5: [0,5,14,16,6,26]</t>
  </si>
  <si>
    <t>466,4802</t>
  </si>
  <si>
    <t>V0: [0,2,15,23,22,4,25,21,26] ; V1: [0,7,19,11,10,26] ; V2: [0,1,9,20,3,24,12,26] ; V3: [0,14,16,6,13,26] ; V4: [0,18,8,17,5,26]</t>
  </si>
  <si>
    <t>429,2004</t>
  </si>
  <si>
    <t>425,2685</t>
  </si>
  <si>
    <t>V0: [0,6,16,14,13,26] ; V1: [0,18,7,11,19,8,17,5,26] ; V2: [0,2,15,23,22,4,25,21,26] ; V3: [0,12,24,3,9,20,10,1,26]</t>
  </si>
  <si>
    <t>V0: [0,2,15,14,6,13,26] ; V1: [0,21,23,22,4,25,24,26] ; V2: [0,18,7,11,19,8,17,16,5,26] ; V3: [0,12,3,9,20,10,1,26]</t>
  </si>
  <si>
    <t>398,2947</t>
  </si>
  <si>
    <t>V0: [0,21,22,23,4,25,24,26] ; V1: [0,7,10,11,19,8,18,26] ; V2: [0,12,3,9,20,1,26] ; V3: [0,2,15,14,16,17,5,6,13,26]</t>
  </si>
  <si>
    <t>V0: [0,7,10,11,19,8,18,26] ; V1: [0,2,15,14,16,17,5,6,13,26] ; V2: [0,12,3,9,20,1,26] ; V3: [0,21,22,23,4,25,24,26]</t>
  </si>
  <si>
    <t>442,6252</t>
  </si>
  <si>
    <t>V0: [0,21,22,23,4,25,24,26] ; V1: [0,12,3,9,20,1,26] ; V2: [0,2,15,14,16,17,13,26] ; V3: [0,5,8,18,6,26] ; V4: [0,7,19,11,10,26]</t>
  </si>
  <si>
    <t>-1</t>
  </si>
  <si>
    <t>445,8722</t>
  </si>
  <si>
    <t>V0: [0,11,19,7,10,20,9,1,26] ; V1: [0,18,8,17,6,26] ; V2: [0,2,21,12,3,24,25,4,26] ; V3: [0,5,16,14,15,22,23,13,26]</t>
  </si>
  <si>
    <t>440,9024</t>
  </si>
  <si>
    <t>429,6968</t>
  </si>
  <si>
    <t>V0: [0,6,14,16,17,5,26] ; V1: [0,2,15,23,22,21,4,25,24,26] ; V2: [0,3,9,20,10,1,12,26] ; V3: [0,7,11,19,8,18,13,26]</t>
  </si>
  <si>
    <t>V0: [0,7,11,19,8,18,17,5,26] ; V1: [0,12,3,9,20,10,1,26] ; V2: [0,2,15,14,16,6,13,26] ; V3: [0,21,23,22,4,25,24,26]</t>
  </si>
  <si>
    <t>394,1013</t>
  </si>
  <si>
    <t>396,9838</t>
  </si>
  <si>
    <t>V0: [0,18,8,7,19,11,10,26] ; V1: [0,2,15,14,16,17,5,6,26] ; V2: [0,12,24,3,9,20,1,26] ; V3: [0,13,21,22,23,25,4,26]</t>
  </si>
  <si>
    <t>268,5325</t>
  </si>
  <si>
    <t>278,6961</t>
  </si>
  <si>
    <t>V0: [0,22,18,19,16,14,12,9,11,10,8,26] ; V1: [0,20,24,6,23,15,17,13,25,21,26] ; V2: [0,5,2,1,7,3,4,26]</t>
  </si>
  <si>
    <t>268,8531</t>
  </si>
  <si>
    <t>303,7789</t>
  </si>
  <si>
    <t>V0: [0,19,16,14,12,15,13,9,11,10,8,26] ; V1: [0,4,3,7,1,2,5,26] ; V2: [0,20,22,24,6,23,18,17,25,21,26]</t>
  </si>
  <si>
    <t>V0: [0,7,3,4,11,10,26] ; V1: [0,20,22,24,6,23,18,19,17,25,21,8,26] ; V2: [0,5,1,2,12,16,14,15,13,9,26]</t>
  </si>
  <si>
    <t>277,1327</t>
  </si>
  <si>
    <t>V0: [0,5,2,1,7,3,4,26] ; V1: [0,23,18,19,16,14,12,15,17,13,26] ; V2: [0,20,22,24,6,25,9,11,10,8,21,26]</t>
  </si>
  <si>
    <t>V0: [0,20,22,24,6,23,19,18,17,25,21,26] ; V1: [0,4,3,7,1,12,14,16,15,13,9,26] ; V2: [0,5,2,11,10,8,26]</t>
  </si>
  <si>
    <t>268,5947</t>
  </si>
  <si>
    <t>291,5318</t>
  </si>
  <si>
    <t>V0: [0,17,18,19,16,14,12,15,13,26] ; V1: [0,20,22,24,6,23,25,9,11,10,8,21,26] ; V2: [0,5,2,1,7,3,4,26]</t>
  </si>
  <si>
    <t>V0: [0,12,14,16,9,26] ; V1: [0,4,3,7,1,2,5,11,10,8,21,22,20,26] ; V2: [0,24,6,23,17,18,19,15,13,25,26]</t>
  </si>
  <si>
    <t>281,4628</t>
  </si>
  <si>
    <t>V0: [0,23,18,19,16,14,12,15,10,11,26] ; V1: [0,20,22,24,6,25,17,13,9,8,21,26] ; V2: [0,5,2,1,7,3,4,26]</t>
  </si>
  <si>
    <t>266,5696</t>
  </si>
  <si>
    <t>278,4903</t>
  </si>
  <si>
    <t>V0: [0,2,12,14,16,15,13,9,11,10,26] ; V1: [0,20,22,24,6,23,18,19,17,25,21,8,26] ; V2: [0,5,1,7,3,4,26]</t>
  </si>
  <si>
    <t>264,6319</t>
  </si>
  <si>
    <t>266,7108</t>
  </si>
  <si>
    <t>V0: [0,10,9,13,15,17,25,21,26] ; V1: [0,20,22,24,6,23,18,19,16,14,12,11,8,26] ; V2: [0,5,2,1,7,3,4,26]</t>
  </si>
  <si>
    <t>265,8097</t>
  </si>
  <si>
    <t>V0: [0,20,22,24,6,23,18,17,25,21,26] ; V1: [0,12,14,16,19,15,13,9,11,10,8,26] ; V2: [0,5,2,1,7,3,4,26]</t>
  </si>
  <si>
    <t>instancias/c101N,txt</t>
  </si>
  <si>
    <t>instancias/c102,txt</t>
  </si>
  <si>
    <t>instancias/c103,txt</t>
  </si>
  <si>
    <t>instancias/c104,txt</t>
  </si>
  <si>
    <t>V0: [0,7,8,11,9,6,4,2,1,3,5,26] ; V1: [0,13,17,18,19,15,16,14,12,10,26] ; V2: [0,20,24,25,23,22,21,26]</t>
  </si>
  <si>
    <t>instancias/c105,txt</t>
  </si>
  <si>
    <t>instancias/c106,txt</t>
  </si>
  <si>
    <t>instancias/c107,txt</t>
  </si>
  <si>
    <t>instancias/c108,txt</t>
  </si>
  <si>
    <t>com mip- mesma semente</t>
  </si>
  <si>
    <t>mesma semente</t>
  </si>
  <si>
    <t>com mip</t>
  </si>
  <si>
    <t>variaçao=mesmaSemente_comesemmip</t>
  </si>
  <si>
    <t>False</t>
  </si>
  <si>
    <t>V0: [0,20,22,24,6,25,9,11,10,8,21,26] ; V1: [0,5,2,1,7,3,4,26] ; V2: [0,23,18,19,16,14,12,15,17,13,26]</t>
  </si>
  <si>
    <t>V0: [0,2,16,14,15,17,25,21,26] ; V1: [0,20,22,24,6,23,18,19,12,13,9,11,10,8,26] ; V2: [0,5,1,7,3,4,26]</t>
  </si>
  <si>
    <t>True</t>
  </si>
  <si>
    <t>V0: [0,21,25,8,26] ; V1: [0,20,22,24,6,23,18,19,15,17,11,5,26] ; V2: [0,4,3,7,1,2,12,16,14,13,9,10,26]</t>
  </si>
  <si>
    <t>V0: [0,5,3,1,12,16,14,15,25,8,26] ; V1: [0,4,7,2,26] ; V2: [0,20,22,24,6,21,23,18,19,17,13,9,11,10,26]</t>
  </si>
  <si>
    <t>V0: [0,21,25,9,11,10,26] ; V1: [0,4,3,7,1,2,12,14,16,15,5,26] ; V2: [0,20,22,24,6,23,18,19,17,13,8,26]</t>
  </si>
  <si>
    <t>V0: [0,21,25,9,11,10,26] ; V1: [0,1,7,3,4,2,5,12,14,16,15,26] ; V2: [0,20,22,24,6,23,18,19,17,13,8,26]</t>
  </si>
  <si>
    <t>V0: [0,4,3,7,1,2,5,11,10,8,26] ; V1: [0,20,22,24,6,23,25,21,26] ; V2: [0,12,14,16,19,15,18,17,13,9,26]</t>
  </si>
  <si>
    <t>V0: [0,4,3,7,1,2,15,13,9,11,10,8,26] ; V1: [0,20,6,24,22,21,26] ; V2: [0,5,12,14,16,19,18,17,23,25,26]</t>
  </si>
  <si>
    <t>V0: [0,4,3,1,2,10,12,17,9,11,7,5,8,21,26] ; V1: [0,23,18,19,16,14,15,13,25,26] ; V2: [0,20,22,24,6,26]</t>
  </si>
  <si>
    <t>V0: [0,20,22,24,6,23,18,19,17,25,21,8,26] ; V1: [0,2,12,14,16,15,13,9,11,10,26] ; V2: [0,4,3,7,1,5,26]</t>
  </si>
  <si>
    <t>V0: [0,14,16,12,15,25,21,26] ; V1: [0,20,22,24,6,23,18,19,17,13,9,11,10,8,26] ; V2: [0,5,2,1,7,3,4,26]</t>
  </si>
  <si>
    <t>V0: [0,12,16,14,15,13,9,11,10,26] ; V1: [0,20,22,24,6,23,18,19,17,25,21,8,26] ; V2: [0,5,2,1,7,3,4,26]</t>
  </si>
  <si>
    <t>V0: [0,12,14,16,15,13,9,11,10,8,26] ; V1: [0,20,22,24,6,23,18,19,17,25,21,26] ; V2: [0,5,2,1,7,3,4,26]</t>
  </si>
  <si>
    <t>V0: [0,12,14,16,15,25,21,26] ; V1: [0,20,22,24,6,23,18,19,17,13,9,11,10,8,26] ; V2: [0,5,2,1,7,3,4,26]</t>
  </si>
  <si>
    <t>V0: [0,20,22,24,6,23,18,19,17,13,9,11,10,8,26] ; V1: [0,12,14,16,15,25,21,26] ; V2: [0,5,2,1,7,3,4,26]</t>
  </si>
  <si>
    <t>V0: [0,20,22,24,6,23,18,19,17,25,21,26] ; V1: [0,5,2,1,7,3,4,26] ; V2: [0,8,9,12,14,16,15,13,11,10,26]</t>
  </si>
  <si>
    <t>V0: [0,21,25,17,15,13,11,10,26] ; V1: [0,20,22,24,6,23,18,19,16,14,12,9,8,26] ; V2: [0,5,2,1,7,3,4,26]</t>
  </si>
  <si>
    <t>V0: [0,20,22,24,6,23,18,17,25,21,26] ; V1: [0,5,2,1,7,3,4,26] ; V2: [0,8,13,15,19,16,14,12,9,11,10,26]</t>
  </si>
  <si>
    <t>Instancia</t>
  </si>
  <si>
    <t>FO_sem</t>
  </si>
  <si>
    <t>FO_com</t>
  </si>
  <si>
    <t>Tempo_sem</t>
  </si>
  <si>
    <t>Tempo_com</t>
  </si>
  <si>
    <t>Gap_sem</t>
  </si>
  <si>
    <t>Gap_com</t>
  </si>
  <si>
    <t>Melhoria_FO</t>
  </si>
  <si>
    <t>Delta_Tempo</t>
  </si>
  <si>
    <t>c201</t>
  </si>
  <si>
    <t>c202</t>
  </si>
  <si>
    <t>c203</t>
  </si>
  <si>
    <t>c204</t>
  </si>
  <si>
    <t>c205</t>
  </si>
  <si>
    <t>c206</t>
  </si>
  <si>
    <t>c207</t>
  </si>
  <si>
    <t>V0: [0,13,17,18,19,15,16,14,12,26] ; V1: [0,7,8,10,11,9,6,4,2,1,3,5,26] ; V2: [0,20,24,25,23,22,21,26]</t>
  </si>
  <si>
    <t>NO IMPROVE</t>
  </si>
  <si>
    <t>tam25_cap200_tabu0_inst0_cons0</t>
  </si>
  <si>
    <t>V0: [0,23,22,4,25,26] ; V1: [0,5,16,6,26] ; V2: [0,12,9,20,1,26] ; V3: [0,2,21,3,24,26] ; V4: [0,11,19,10,26] ; V5: [0,7,8,17,26] ; V6: [0,18,26] ; V7: [0,14,15,13,26]</t>
  </si>
  <si>
    <t>Analise</t>
  </si>
  <si>
    <t>tam25_cap200_tabu0_inst0_cons1</t>
  </si>
  <si>
    <t>V0: [0,2,21,3,24,25,26] ; V1: [0,12,9,20,1,26] ; V2: [0,11,19,10,26] ; V3: [0,23,22,4,26] ; V4: [0,18,26] ; V5: [0,5,16,6,26] ; V6: [0,14,15,13,26] ; V7: [0,7,8,17,26]</t>
  </si>
  <si>
    <t>tam25_cap200_tabu0_inst0_cons2</t>
  </si>
  <si>
    <t>V0: [0,12,9,20,1,26] ; V1: [0,23,22,4,26] ; V2: [0,11,19,10,26] ; V3: [0,7,8,17,26] ; V4: [0,14,15,13,26] ; V5: [0,18,26] ; V6: [0,5,16,6,26] ; V7: [0,2,21,3,24,25,26]</t>
  </si>
  <si>
    <t>tam25_cap200_tabu0_inst0_cons3</t>
  </si>
  <si>
    <t>V0: [0,12,9,20,26] ; V1: [0,7,8,26] ; V2: [0,18,26] ; V3: [0,14,15,6,13,26] ; V4: [0,5,16,17,26] ; V5: [0,23,22,4,26] ; V6: [0,11,19,10,1,26] ; V7: [0,2,21,3,24,25,26]</t>
  </si>
  <si>
    <t>tam25_cap200_tabu0_inst0_cons22</t>
  </si>
  <si>
    <t>V0: [0,5,16,6,26] ; V1: [0,14,15,13,26] ; V2: [0,12,9,20,1,26] ; V3: [0,7,8,17,26] ; V4: [0,18,26] ; V5: [0,11,19,10,26] ; V6: [0,2,21,3,24,26] ; V7: [0,23,22,4,25,26]</t>
  </si>
  <si>
    <t>V0: [0,14,16,6,13,26] ; V1: [0,7,11,19,10,26] ; V2: [0,21,23,24,12,26] ; V3: [0,2,15,22,4,25,26] ; V4: [0,8,17,5,26] ; V5: [0,3,9,20,1,26] ; V6: [0,18,26]</t>
  </si>
  <si>
    <t>V0: [0,21,23,24,12,26] ; V1: [0,2,15,22,4,25,26] ; V2: [0,3,9,20,1,26] ; V3: [0,8,17,5,26] ; V4: [0,18,26] ; V5: [0,7,11,19,10,26] ; V6: [0,14,16,6,13,26]</t>
  </si>
  <si>
    <t>V0: [0,8,17,5,26] ; V1: [0,3,9,20,1,26] ; V2: [0,21,23,24,12,26] ; V3: [0,18,26] ; V4: [0,7,11,19,10,26] ; V5: [0,14,16,6,13,26] ; V6: [0,2,15,22,4,25,26]</t>
  </si>
  <si>
    <t>V0: [0,2,15,22,4,25,12,26] ; V1: [0,3,9,20,1,26] ; V2: [0,18,6,13,26] ; V3: [0,8,26] ; V4: [0,7,11,19,10,26] ; V5: [0,14,16,17,5,26] ; V6: [0,21,23,24,26]</t>
  </si>
  <si>
    <t>V0: [0,21,23,24,12,26] ; V1: [0,2,15,22,4,25,26] ; V2: [0,18,6,13,26] ; V3: [0,8,10,26] ; V4: [0,16,17,26] ; V5: [0,5,11,19,3,26] ; V6: [0,14,9,20,1,7,26]</t>
  </si>
  <si>
    <t>V0: [0,7,19,11,8,18,26] ; V1: [0,12,24,3,9,10,20,1,26] ; V2: [0,2,15,14,16,17,5,26] ; V3: [0,6,13,26] ; V4: [0,21,23,22,4,25,26]</t>
  </si>
  <si>
    <t>V0: [0,2,15,14,16,17,5,26] ; V1: [0,7,19,11,8,18,26] ; V2: [0,21,23,22,4,25,26] ; V3: [0,6,13,26] ; V4: [0,12,24,3,9,10,20,1,26]</t>
  </si>
  <si>
    <t>V0: [0,12,24,3,9,10,20,1,26] ; V1: [0,21,23,22,4,25,26] ; V2: [0,2,15,14,16,17,5,26] ; V3: [0,6,13,26] ; V4: [0,7,19,11,8,18,26]</t>
  </si>
  <si>
    <t>V0: [0,24,3,9,10,20,1,26] ; V1: [0,6,13,26] ; V2: [0,15,14,16,17,5,26] ; V3: [0,7,19,11,8,18,26] ; V4: [0,2,21,23,22,4,25,12,26]</t>
  </si>
  <si>
    <t>V0: [0,21,23,22,4,25,26] ; V1: [0,2,15,14,16,17,5,26] ; V2: [0,6,13,26] ; V3: [0,7,19,11,8,18,26] ; V4: [0,12,24,3,9,10,20,1,26]</t>
  </si>
  <si>
    <t>V0: [0,7,19,11,8,18,6,13,26] ; V1: [0,1,10,20,9,3,24,12,26] ; V2: [0,2,15,14,16,17,5,26] ; V3: [0,21,22,23,4,25,26]</t>
  </si>
  <si>
    <t>V0: [0,21,22,23,4,25,26] ; V1: [0,2,15,14,16,17,5,26] ; V2: [0,7,19,11,8,18,6,13,26] ; V3: [0,1,10,20,9,3,24,12,26]</t>
  </si>
  <si>
    <t>V0: [0,2,15,14,16,17,5,26] ; V1: [0,21,22,23,4,25,26] ; V2: [0,1,10,20,9,3,24,12,26] ; V3: [0,7,19,11,8,18,6,13,26]</t>
  </si>
  <si>
    <t>V0: [0,1,10,20,9,3,24,25,12,26] ; V1: [0,7,19,11,8,17,16,5,18,26] ; V2: [0,21,22,23,4,26] ; V3: [0,6,14,15,2,13,26]</t>
  </si>
  <si>
    <t>V0: [0,7,19,11,8,18,6,13,26] ; V1: [0,2,15,14,16,17,5,26] ; V2: [0,21,22,23,4,25,12,26] ; V3: [0,24,3,9,20,10,1,26]</t>
  </si>
  <si>
    <t>V0: [0,5,14,16,6,26] ; V1: [0,19,11,10,20,1,26] ; V2: [0,7,18,8,17,26] ; V3: [0,12,9,3,24,26] ; V4: [0,2,15,13,26] ; V5: [0,21,23,22,4,25,26]</t>
  </si>
  <si>
    <t>V0: [0,19,11,10,20,1,26] ; V1: [0,12,9,3,24,25,26] ; V2: [0,5,14,16,6,26] ; V3: [0,7,18,8,17,26] ; V4: [0,2,15,13,26] ; V5: [0,21,23,22,4,26]</t>
  </si>
  <si>
    <t>V0: [0,21,23,22,4,25,26] ; V1: [0,19,11,10,20,1,26] ; V2: [0,7,18,8,17,26] ; V3: [0,5,14,16,6,26] ; V4: [0,12,9,3,24,26] ; V5: [0,2,15,13,26]</t>
  </si>
  <si>
    <t>V0: [0,18,6,26] ; V1: [0,21,23,22,4,26] ; V2: [0,12,9,3,24,25,26] ; V3: [0,5,14,16,8,17,26] ; V4: [0,11,19,7,10,20,1,26] ; V5: [0,2,15,13,26]</t>
  </si>
  <si>
    <t>V0: [0,2,15,13,26] ; V1: [0,21,23,22,4,26] ; V2: [0,12,9,3,24,25,26] ; V3: [0,19,11,10,20,1,26] ; V4: [0,7,18,8,17,26] ; V5: [0,5,14,16,6,26]</t>
  </si>
  <si>
    <t>V0: [0,1,9,20,3,24,26] ; V1: [0,14,16,6,13,26] ; V2: [0,18,8,17,5,26] ; V3: [0,2,15,23,22,21,4,25,12,26] ; V4: [0,7,19,11,10,26]</t>
  </si>
  <si>
    <t>V0: [0,7,19,11,10,26] ; V1: [0,2,15,23,22,4,25,21,26] ; V2: [0,18,8,17,5,26] ; V3: [0,14,16,6,13,26] ; V4: [0,1,9,20,3,24,12,26]</t>
  </si>
  <si>
    <t>V0: [0,7,19,11,10,26] ; V1: [0,2,15,23,22,4,25,21,26] ; V2: [0,14,16,6,13,26] ; V3: [0,1,9,20,3,24,12,26] ; V4: [0,18,8,17,5,26]</t>
  </si>
  <si>
    <t>V0: [0,19,11,10,20,26] ; V1: [0,2,14,16,5,6,13,26] ; V2: [0,7,18,8,17,26] ; V3: [0,21,15,23,22,4,25,12,26] ; V4: [0,1,9,3,24,26]</t>
  </si>
  <si>
    <t>V0: [0,18,7,11,19,8,17,16,5,26] ; V1: [0,21,23,22,4,25,24,26] ; V2: [0,12,3,9,20,10,1,26] ; V3: [0,2,15,14,6,13,26]</t>
  </si>
  <si>
    <t>V0: [0,12,3,9,20,10,1,26] ; V1: [0,18,7,11,19,8,17,16,5,26] ; V2: [0,21,23,22,4,25,24,26] ; V3: [0,2,15,14,6,13,26]</t>
  </si>
  <si>
    <t>V0: [0,23,22,21,4,25,24,26] ; V1: [0,18,7,11,19,8,17,16,5,26] ; V2: [0,12,3,9,20,10,1,26] ; V3: [0,2,15,14,6,13,26]</t>
  </si>
  <si>
    <t>V0: [0,21,23,22,4,25,24,26] ; V1: [0,2,15,14,6,13,26] ; V2: [0,12,3,9,20,10,1,26] ; V3: [0,18,7,11,19,8,17,16,5,26]</t>
  </si>
  <si>
    <t>V0: [0,12,24,3,9,20,1,26] ; V1: [0,10,19,11,7,8,18,26] ; V2: [0,2,15,23,22,4,25,21,26] ; V3: [0,6,5,17,16,14,13,26]</t>
  </si>
  <si>
    <t>V0: [0,2,15,14,16,17,5,6,13,26] ; V1: [0,7,10,11,19,8,18,26] ; V2: [0,1,20,9,3,12,26] ; V3: [0,21,22,23,4,25,24,26]</t>
  </si>
  <si>
    <t>V0: [0,7,10,11,19,8,18,26] ; V1: [0,2,15,14,16,17,5,6,13,26] ; V2: [0,1,20,9,3,12,26] ; V3: [0,21,22,23,4,25,24,26]</t>
  </si>
  <si>
    <t>V0: [0,14,15,2,13,26] ; V1: [0,21,22,23,4,25,24,26] ; V2: [0,12,3,9,20,10,1,26] ; V3: [0,18,7,11,19,8,17,16,5,6,26]</t>
  </si>
  <si>
    <t>V0: [0,22,23,4,12,26] ; V1: [0,1,20,9,3,24,25,21,26] ; V2: [0,7,10,11,19,8,18,26] ; V3: [0,2,15,14,16,17,5,6,13,26]</t>
  </si>
  <si>
    <t>V0: [0,21,22,23,4,25,24,26] ; V1: [0,12,3,9,20,1,26] ; V2: [0,7,19,11,10,26] ; V3: [0,5,8,18,6,26] ; V4: [0,2,15,14,16,17,13,26]</t>
  </si>
  <si>
    <t>V0: [0,12,3,9,20,1,26] ; V1: [0,2,15,14,16,17,13,26] ; V2: [0,5,8,18,6,26] ; V3: [0,21,22,23,4,25,24,26] ; V4: [0,7,19,11,10,26]</t>
  </si>
  <si>
    <t>V0: [0,12,3,9,20,1,26] ; V1: [0,21,22,23,4,25,24,26] ; V2: [0,2,15,14,16,17,13,26] ; V3: [0,7,19,11,10,26] ; V4: [0,5,8,18,6,26]</t>
  </si>
  <si>
    <t>V0: [0,12,9,3,24,25,4,26] ; V1: [0,18,8,6,26] ; V2: [0,21,23,22,13,26] ; V3: [0,5,7,19,11,10,20,1,26] ; V4: [0,2,15,14,16,17,26]</t>
  </si>
  <si>
    <t>V0: [0,5,8,18,6,26] ; V1: [0,2,15,14,16,17,13,26] ; V2: [0,7,19,11,10,26] ; V3: [0,21,22,23,4,25,24,26] ; V4: [0,12,3,9,20,1,26]</t>
  </si>
  <si>
    <t>V0: [0,5,16,14,15,22,23,13,26] ; V1: [0,11,19,7,10,20,9,1,26] ; V2: [0,18,8,17,6,26] ; V3: [0,2,21,12,3,24,25,4,26]</t>
  </si>
  <si>
    <t>V0: [0,18,8,17,6,26] ; V1: [0,5,16,14,15,22,23,13,26] ; V2: [0,2,21,12,3,24,25,4,26] ; V3: [0,11,19,7,10,20,9,1,26]</t>
  </si>
  <si>
    <t>V0: [0,5,16,14,15,22,23,25,26] ; V1: [0,21,2,6,18,8,17,13,26] ; V2: [0,11,19,7,10,20,9,1,26] ; V3: [0,12,3,24,4,26]</t>
  </si>
  <si>
    <t>V0: [0,5,16,14,15,22,23,13,26] ; V1: [0,18,8,17,6,26] ; V2: [0,11,19,7,10,20,9,1,26] ; V3: [0,2,21,12,3,24,25,4,26]</t>
  </si>
  <si>
    <t>V0: [0,7,11,19,8,18,17,5,26] ; V1: [0,21,23,22,4,25,24,26] ; V2: [0,12,3,9,20,10,1,26] ; V3: [0,2,15,14,16,6,13,26]</t>
  </si>
  <si>
    <t>V0: [0,2,15,14,16,6,13,26] ; V1: [0,12,3,9,20,10,1,26] ; V2: [0,21,23,22,4,25,24,26] ; V3: [0,7,11,19,8,18,17,5,26]</t>
  </si>
  <si>
    <t>V0: [0,21,15,23,22,4,25,24,26] ; V1: [0,6,16,14,2,13,26] ; V2: [0,12,3,9,20,10,1,26] ; V3: [0,7,11,19,8,18,17,5,26]</t>
  </si>
  <si>
    <t>V0: [0,12,3,9,20,10,1,26] ; V1: [0,2,15,14,16,6,13,26] ; V2: [0,7,11,19,8,18,17,5,26] ; V3: [0,21,23,22,4,25,24,26]</t>
  </si>
  <si>
    <t>V0: [0,13,21,22,23,25,4,26] ; V1: [0,2,15,14,16,17,5,6,26] ; V2: [0,12,24,3,9,20,1,26] ; V3: [0,18,8,7,19,11,10,26]</t>
  </si>
  <si>
    <t>V0: [0,12,24,3,9,20,1,26] ; V1: [0,18,8,7,19,11,10,26] ; V2: [0,13,21,22,23,25,4,26] ; V3: [0,2,15,14,16,17,5,6,26]</t>
  </si>
  <si>
    <t>V0: [0,2,15,14,16,17,5,6,13,26] ; V1: [0,12,3,9,20,1,26] ; V2: [0,21,22,23,4,25,24,26] ; V3: [0,18,8,7,19,11,10,26]</t>
  </si>
  <si>
    <t>V0: [0,16,14,12,15,25,21,26] ; V1: [0,5,2,1,7,3,4,26] ; V2: [0,20,22,24,6,23,18,19,17,13,9,11,10,8,26]</t>
  </si>
  <si>
    <t>V0: [0,5,2,1,7,3,4,26] ; V1: [0,20,22,24,6,23,18,17,25,21,26] ; V2: [0,19,16,14,12,15,13,9,11,10,8,26]</t>
  </si>
  <si>
    <t>V0: [0,5,2,1,7,3,4,26] ; V1: [0,19,16,14,12,15,13,9,11,10,8,26] ; V2: [0,20,22,24,6,23,18,17,25,21,26]</t>
  </si>
  <si>
    <t>V0: [0,20,22,24,21,26] ; V1: [0,6,23,18,19,15,17,13,25,11,26] ; V2: [0,5,2,1,7,3,4,16,14,12,9,10,8,26]</t>
  </si>
  <si>
    <t>V0: [0,5,2,1,7,3,4,26] ; V1: [0,19,16,14,12,15,13,9,11,10,8,26] ; V2: [0,22,20,24,6,23,18,17,25,21,26]</t>
  </si>
  <si>
    <t>V0: [0,12,16,14,15,13,9,11,10,8,26] ; V1: [0,4,3,7,1,2,5,26] ; V2: [0,20,22,24,6,23,18,19,17,25,21,26]</t>
  </si>
  <si>
    <t>V0: [0,18,16,14,12,9,11,10,26] ; V1: [0,24,6,23,19,15,17,13,25,8,26] ; V2: [0,20,22,21,5,2,1,7,3,4,26]</t>
  </si>
  <si>
    <t>V0: [0,23,18,19,9,11,26] ; V1: [0,20,22,24,6,21,5,2,1,7,3,4,10,8,26] ; V2: [0,12,16,14,15,17,13,25,26]</t>
  </si>
  <si>
    <t>V0: [0,2,1,7,3,4,26] ; V1: [0,20,22,24,6,23,18,19,16,14,12,9,8,26] ; V2: [0,21,15,17,13,25,11,10,5,26]</t>
  </si>
  <si>
    <t>V0: [0,9,12,14,16,19,18,26] ; V1: [0,4,3,7,1,2,5,11,10,8,21,26] ; V2: [0,20,22,24,6,23,15,17,13,25,26]</t>
  </si>
  <si>
    <t>V0: [0,21,22,6,26] ; V1: [0,20,24,23,18,19,16,15,17,25,26] ; V2: [0,5,2,3,7,4,1,14,12,13,9,11,10,8,26]</t>
  </si>
  <si>
    <t>V0: [0,15,19,16,14,12,9,26] ; V1: [0,20,22,24,6,23,18,17,13,25,21,26] ; V2: [0,4,3,7,1,2,5,11,10,8,26]</t>
  </si>
  <si>
    <t>V0: [0,23,15,17,13,25,9,11,10,5,8,26] ; V1: [0,20,22,24,6,26] ; V2: [0,21,18,19,16,14,12,2,1,7,3,4,26]</t>
  </si>
  <si>
    <t>V0: [0,3,13,17,18,19,15,16,14,12,26] ; V1: [0,20,24,25,23,22,21,26] ; V2: [0,5,7,8,10,11,9,6,4,2,1,26]</t>
  </si>
  <si>
    <t>0.0</t>
  </si>
  <si>
    <t>-0.0</t>
  </si>
  <si>
    <t>agoracom MIP</t>
  </si>
  <si>
    <t>COM MIP</t>
  </si>
  <si>
    <t>m</t>
  </si>
  <si>
    <t>10 X LITERATURA Sem Mip</t>
  </si>
  <si>
    <t>10 X LITERATURA COM Mip</t>
  </si>
  <si>
    <t>10 X LITERATURA SEM Mip</t>
  </si>
  <si>
    <t>MIP</t>
  </si>
  <si>
    <t>FO</t>
  </si>
  <si>
    <t>Time</t>
  </si>
  <si>
    <t>arquivo</t>
  </si>
  <si>
    <t>no</t>
  </si>
  <si>
    <t>iter_cg</t>
  </si>
  <si>
    <t>veic</t>
  </si>
  <si>
    <t>col</t>
  </si>
  <si>
    <t>custo</t>
  </si>
  <si>
    <t>rota</t>
  </si>
  <si>
    <t>mip_periodico_no_0.txt</t>
  </si>
  <si>
    <t>[0, 18, 6, 24, 26]</t>
  </si>
  <si>
    <t>[0, 2, 21, 22, 13, 26]</t>
  </si>
  <si>
    <t>[0, 12, 9, 20, 26]</t>
  </si>
  <si>
    <t>[0, 5, 16, 10, 26]</t>
  </si>
  <si>
    <t>[0, 7, 8, 1, 26]</t>
  </si>
  <si>
    <t>[0, 14, 15, 17, 26]</t>
  </si>
  <si>
    <t>[0, 23, 3, 26]</t>
  </si>
  <si>
    <t>[0, 11, 19, 4, 25, 26]</t>
  </si>
  <si>
    <t>[0, 14, 15, 22, 4, 25, 26]</t>
  </si>
  <si>
    <t>[0, 2, 21, 3, 24, 26]</t>
  </si>
  <si>
    <t>[0, 23, 13, 26]</t>
  </si>
  <si>
    <t>[0, 16, 6, 26]</t>
  </si>
  <si>
    <t>[0, 18, 26]</t>
  </si>
  <si>
    <t>[0, 11, 19, 10, 1, 26]</t>
  </si>
  <si>
    <t>[0, 5, 7, 8, 17, 26]</t>
  </si>
  <si>
    <t>[0, 7, 8, 17, 26]</t>
  </si>
  <si>
    <t>[0, 14, 15, 26]</t>
  </si>
  <si>
    <t>[0, 23, 22, 4, 25, 26]</t>
  </si>
  <si>
    <t>[0, 5, 16, 6, 13, 26]</t>
  </si>
  <si>
    <t>[0, 18, 6, 1, 7, 26]</t>
  </si>
  <si>
    <t>[0, 19, 8, 17, 5, 26]</t>
  </si>
  <si>
    <t>[0, 14, 16, 2, 13, 26]</t>
  </si>
  <si>
    <t>[0, 23, 24, 12, 26]</t>
  </si>
  <si>
    <t>[0, 15, 22, 4, 25, 26]</t>
  </si>
  <si>
    <t>[0, 9, 10, 26]</t>
  </si>
  <si>
    <t>[0, 11, 20, 3, 21, 26]</t>
  </si>
  <si>
    <t>[0, 19, 8, 7, 26]</t>
  </si>
  <si>
    <t>[0, 11, 20, 1, 12, 26]</t>
  </si>
  <si>
    <t>[0, 3, 9, 10, 26]</t>
  </si>
  <si>
    <t>[0, 18, 6, 5, 17, 26]</t>
  </si>
  <si>
    <t>[0, 21, 23, 24, 26]</t>
  </si>
  <si>
    <t>[0, 1, 9, 20, 3, 12, 26]</t>
  </si>
  <si>
    <t>[0, 18, 6, 26]</t>
  </si>
  <si>
    <t>[0, 11, 10, 7, 26]</t>
  </si>
  <si>
    <t>[0, 15, 22, 4, 25, 12, 26]</t>
  </si>
  <si>
    <t>[0, 3, 9, 20, 1, 26]</t>
  </si>
  <si>
    <t>[0, 6, 19, 7, 1, 26]</t>
  </si>
  <si>
    <t>[0, 24, 23, 22, 21, 4, 25, 12, 26]</t>
  </si>
  <si>
    <t>[0, 11, 8, 13, 2, 26]</t>
  </si>
  <si>
    <t>[0, 9, 10, 20, 3, 26]</t>
  </si>
  <si>
    <t>[0, 15, 14, 16, 17, 5, 18, 26]</t>
  </si>
  <si>
    <t>[0, 1, 6, 13, 26]</t>
  </si>
  <si>
    <t>[0, 2, 15, 14, 16, 17, 26]</t>
  </si>
  <si>
    <t>[0, 3, 20, 9, 10, 26]</t>
  </si>
  <si>
    <t>[0, 7, 19, 11, 8, 5, 18, 26]</t>
  </si>
  <si>
    <t>[0, 12, 24, 3, 9, 10, 20, 1, 26]</t>
  </si>
  <si>
    <t>[0, 2, 15, 14, 16, 17, 5, 26]</t>
  </si>
  <si>
    <t>[0, 6, 13, 26]</t>
  </si>
  <si>
    <t>[0, 21, 23, 22, 4, 25, 26]</t>
  </si>
  <si>
    <t>[0, 7, 19, 11, 8, 18, 26]</t>
  </si>
  <si>
    <t>[0, 1, 3, 9, 20, 10, 19, 7, 26]</t>
  </si>
  <si>
    <t>[0, 21, 22, 23, 24, 4, 25, 12, 26]</t>
  </si>
  <si>
    <t>[0, 11, 8, 18, 6, 13, 26]</t>
  </si>
  <si>
    <t>[0, 15, 14, 16, 17, 5, 2, 26]</t>
  </si>
  <si>
    <t>[0, 24, 3, 9, 20, 10, 1, 26]</t>
  </si>
  <si>
    <t>[0, 21, 22, 23, 4, 25, 12, 26]</t>
  </si>
  <si>
    <t>[0, 7, 19, 11, 8, 17, 16, 5, 18, 26]</t>
  </si>
  <si>
    <t>[0, 6, 14, 15, 2, 13, 26]</t>
  </si>
  <si>
    <t>[0, 7, 19, 11, 8, 18, 6, 13, 26]</t>
  </si>
  <si>
    <t>[0, 1, 10, 20, 9, 3, 24, 25, 12, 26]</t>
  </si>
  <si>
    <t>[0, 21, 22, 23, 4, 26]</t>
  </si>
  <si>
    <t>[0, 2, 15, 22, 4, 25, 26]</t>
  </si>
  <si>
    <t>[0, 5, 8, 18, 17, 26]</t>
  </si>
  <si>
    <t>[0, 12, 9, 3, 24, 26]</t>
  </si>
  <si>
    <t>[0, 14, 16, 6, 13, 26]</t>
  </si>
  <si>
    <t>[0, 21, 23, 26]</t>
  </si>
  <si>
    <t>[0, 11, 19, 7, 10, 20, 1, 26]</t>
  </si>
  <si>
    <t>[0, 2, 15, 26]</t>
  </si>
  <si>
    <t>[0, 5, 18, 8, 17, 26]</t>
  </si>
  <si>
    <t>[0, 18, 8, 17, 26]</t>
  </si>
  <si>
    <t>[0, 5, 14, 16, 6, 13, 26]</t>
  </si>
  <si>
    <t>[0, 14, 23, 22, 4, 25, 12, 26]</t>
  </si>
  <si>
    <t>[0, 19, 11, 10, 20, 7, 26]</t>
  </si>
  <si>
    <t>[0, 16, 8, 17, 5, 26]</t>
  </si>
  <si>
    <t>[0, 15, 18, 6, 13, 2, 21, 26]</t>
  </si>
  <si>
    <t>[0, 1, 9, 3, 24, 26]</t>
  </si>
  <si>
    <t>[0, 14, 16, 8, 17, 5, 26]</t>
  </si>
  <si>
    <t>[0, 2, 15, 23, 22, 21, 4, 25, 12, 26]</t>
  </si>
  <si>
    <t>[0, 18, 6, 13, 26]</t>
  </si>
  <si>
    <t>[0, 14, 16, 5, 6, 13, 26]</t>
  </si>
  <si>
    <t>[0, 9, 3, 24, 12, 26]</t>
  </si>
  <si>
    <t>[0, 2, 15, 23, 22, 4, 25, 21, 26]</t>
  </si>
  <si>
    <t>[0, 7, 19, 11, 10, 20, 1, 26]</t>
  </si>
  <si>
    <t>[0, 18, 8, 17, 5, 26]</t>
  </si>
  <si>
    <t>mip_periodico_no_1.txt</t>
  </si>
  <si>
    <t>[0, 21, 23, 24, 12, 26]</t>
  </si>
  <si>
    <t>[0, 8, 17, 5, 26]</t>
  </si>
  <si>
    <t>[0, 7, 11, 19, 10, 26]</t>
  </si>
  <si>
    <t>No0 | iter_cg=99 | FO=785,200000</t>
  </si>
  <si>
    <t>No0 | iter_cg=119 | FO=656,500000</t>
  </si>
  <si>
    <t>No0 | iter_cg=139 | FO=628,700000</t>
  </si>
  <si>
    <t>No0 | iter_cg=119 | FO=686,300000</t>
  </si>
  <si>
    <t>No0 | iter_cg=139 | FO=644,700000</t>
  </si>
  <si>
    <t>No0 | iter_cg=159 | FO=594,700000</t>
  </si>
  <si>
    <t>No0 | iter_cg=179 | FO=584,900000</t>
  </si>
  <si>
    <t>SemMipImprove</t>
  </si>
  <si>
    <t>ComMipImprove</t>
  </si>
  <si>
    <t>No0 | iter_cg=179 | FO=563,500000</t>
  </si>
  <si>
    <t>No0 | iter_cg=259 | FO=506,700000</t>
  </si>
  <si>
    <t>No0 | iter_cg=279 | FO=454,600000</t>
  </si>
  <si>
    <t>No0 | iter_cg=19 | FO=454,600000</t>
  </si>
  <si>
    <t>No0 | iter_cg=41 | FO=454,600000</t>
  </si>
  <si>
    <t>No0 | iter_cg=40 | FO=454,600000</t>
  </si>
  <si>
    <t>No0 | iter_cg=259 | FO=471,200000</t>
  </si>
  <si>
    <t>No0 | iter_cg=279 | FO=450,600000</t>
  </si>
  <si>
    <t>No0 | iter_cg=299 | FO=450,600000</t>
  </si>
  <si>
    <t>No0 | iter_cg=319 | FO=426,100000</t>
  </si>
  <si>
    <t>No0 | iter_cg=339 | FO=426,100000</t>
  </si>
  <si>
    <t>No0 | iter_cg=359 | FO=419,600000</t>
  </si>
  <si>
    <t>No0 | iter_cg=119 | FO=561,500000</t>
  </si>
  <si>
    <t>No0 | iter_cg=139 | FO=561,500000</t>
  </si>
  <si>
    <t>No0 | iter_cg=159 | FO=561,500000</t>
  </si>
  <si>
    <t>No0 | iter_cg=179 | FO=544,300000</t>
  </si>
  <si>
    <t>No0 | iter_cg=199 | FO=544,300000</t>
  </si>
  <si>
    <t>No0 | iter_cg=219 | FO=537,000000</t>
  </si>
  <si>
    <t>No0 | iter_cg=199 | FO=571,300000</t>
  </si>
  <si>
    <t>No0 | iter_cg=219 | FO=571,300000</t>
  </si>
  <si>
    <t>No0 | iter_cg=239 | FO=571,300000</t>
  </si>
  <si>
    <t>No0 | iter_cg=259 | FO=497,200000</t>
  </si>
  <si>
    <t>No0 | iter_cg=279 | FO=494,400000</t>
  </si>
  <si>
    <t>No0 | iter_cg=299 | FO=494,400000</t>
  </si>
  <si>
    <t>No0 | iter_cg=319 | FO=468,000000</t>
  </si>
  <si>
    <t>heuristica inibindo arcos proibidos e forçando os fixos</t>
  </si>
  <si>
    <t>x</t>
  </si>
  <si>
    <t>y</t>
  </si>
  <si>
    <t>Ganho (-)</t>
  </si>
  <si>
    <t>tempo_sem_improve</t>
  </si>
  <si>
    <t>tempo_com_improve</t>
  </si>
  <si>
    <t>delta_tempo</t>
  </si>
  <si>
    <t>melhor_tempo</t>
  </si>
  <si>
    <t>colunas_sem_improve</t>
  </si>
  <si>
    <t>colunas_com_improve</t>
  </si>
  <si>
    <t>delta_colunas</t>
  </si>
  <si>
    <t>melhor_colunas</t>
  </si>
  <si>
    <t>COM IMPROVE</t>
  </si>
  <si>
    <t>SEM IMPROVE</t>
  </si>
  <si>
    <t>c101N_g10_G50_SM20</t>
  </si>
  <si>
    <t>c102_g10_G50_SM20</t>
  </si>
  <si>
    <t>c103_g10_G50_SM20</t>
  </si>
  <si>
    <t>c104_g10_G50_SM20</t>
  </si>
  <si>
    <t>c105_g10_G50_SM20</t>
  </si>
  <si>
    <t>c106_g10_G50_SM20</t>
  </si>
  <si>
    <t>c107_g10_G50_SM20</t>
  </si>
  <si>
    <t>c108_g10_G50_SM20</t>
  </si>
  <si>
    <t>c109_g10_G50_SM20</t>
  </si>
  <si>
    <t>r101_g30_G50_SM20</t>
  </si>
  <si>
    <t>r102_g30_G50_SM20</t>
  </si>
  <si>
    <t>r103_g30_G50_SM20</t>
  </si>
  <si>
    <t>r104_g30_G50_SM20</t>
  </si>
  <si>
    <t>r105_g30_G50_SM20</t>
  </si>
  <si>
    <t>r106_g30_G50_SM20</t>
  </si>
  <si>
    <t>r107_g30_G50_SM20</t>
  </si>
  <si>
    <t>r108_g30_G50_SM20</t>
  </si>
  <si>
    <t>r109_g30_G50_SM20</t>
  </si>
  <si>
    <t>r110_g30_G50_SM20</t>
  </si>
  <si>
    <t>r111_g30_G50_SM20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</si>
</sst>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>
    <font>
      <sz val="11"/>
      <color theme="1"/>
      <name val="Aptos Narrow"/>
      <family val="2"/>
      <scheme val="minor"/>
    </font>
    <font>
      <sz val="8"/>
      <color rgb="FFCCCCCC"/>
      <name val="Consolas"/>
      <family val="3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22" fontId="0" fillId="2" borderId="0" xfId="0" applyNumberForma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1" xfId="0" applyBorder="1"/>
    <xf numFmtId="0" fontId="0" fillId="5" borderId="0" xfId="0" applyFill="1"/>
    <xf numFmtId="0" fontId="0" fillId="0" borderId="2" xfId="0" applyBorder="1"/>
    <xf numFmtId="0" fontId="0" fillId="6" borderId="6" xfId="0" applyFill="1" applyBorder="1"/>
    <xf numFmtId="0" fontId="0" fillId="7" borderId="6" xfId="0" applyFill="1" applyBorder="1"/>
    <xf numFmtId="0" fontId="0" fillId="8" borderId="6" xfId="0" applyFill="1" applyBorder="1"/>
    <xf numFmtId="0" fontId="0" fillId="6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22" fontId="0" fillId="0" borderId="2" xfId="0" applyNumberFormat="1" applyBorder="1"/>
    <xf numFmtId="0" fontId="0" fillId="6" borderId="7" xfId="0" applyFill="1" applyBorder="1"/>
    <xf numFmtId="0" fontId="0" fillId="8" borderId="7" xfId="0" applyFill="1" applyBorder="1"/>
    <xf numFmtId="0" fontId="0" fillId="9" borderId="0" xfId="0" applyFill="1"/>
    <xf numFmtId="0" fontId="0" fillId="9" borderId="6" xfId="0" applyFill="1" applyBorder="1"/>
    <xf numFmtId="22" fontId="0" fillId="9" borderId="0" xfId="0" applyNumberFormat="1" applyFill="1"/>
    <xf numFmtId="0" fontId="0" fillId="8" borderId="0" xfId="0" applyFill="1"/>
    <xf numFmtId="0" fontId="0" fillId="10" borderId="0" xfId="0" applyFill="1"/>
    <xf numFmtId="0" fontId="1" fillId="0" borderId="8" xfId="0" applyFont="1" applyBorder="1" applyAlignment="1">
      <alignment vertical="center"/>
    </xf>
    <xf numFmtId="0" fontId="0" fillId="0" borderId="9" xfId="0" applyBorder="1"/>
    <xf numFmtId="0" fontId="0" fillId="10" borderId="9" xfId="0" applyFill="1" applyBorder="1"/>
    <xf numFmtId="22" fontId="0" fillId="0" borderId="10" xfId="0" applyNumberFormat="1" applyBorder="1"/>
    <xf numFmtId="0" fontId="1" fillId="8" borderId="11" xfId="0" applyFont="1" applyFill="1" applyBorder="1" applyAlignment="1">
      <alignment vertical="center"/>
    </xf>
    <xf numFmtId="0" fontId="0" fillId="8" borderId="12" xfId="0" applyFill="1" applyBorder="1"/>
    <xf numFmtId="22" fontId="0" fillId="8" borderId="13" xfId="0" applyNumberFormat="1" applyFill="1" applyBorder="1"/>
    <xf numFmtId="0" fontId="1" fillId="0" borderId="11" xfId="0" applyFont="1" applyBorder="1" applyAlignment="1">
      <alignment vertical="center"/>
    </xf>
    <xf numFmtId="0" fontId="0" fillId="0" borderId="12" xfId="0" applyBorder="1"/>
    <xf numFmtId="22" fontId="0" fillId="0" borderId="13" xfId="0" applyNumberFormat="1" applyBorder="1"/>
    <xf numFmtId="3" fontId="0" fillId="0" borderId="0" xfId="0" applyNumberFormat="1"/>
    <xf numFmtId="0" fontId="0" fillId="7" borderId="14" xfId="0" applyFill="1" applyBorder="1"/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2" borderId="16" xfId="0" applyNumberFormat="1" applyFill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0" fontId="0" fillId="0" borderId="15" xfId="0" applyBorder="1"/>
    <xf numFmtId="0" fontId="0" fillId="2" borderId="16" xfId="0" applyFill="1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7" borderId="21" xfId="0" applyFill="1" applyBorder="1"/>
    <xf numFmtId="0" fontId="0" fillId="7" borderId="2" xfId="0" applyFill="1" applyBorder="1"/>
    <xf numFmtId="0" fontId="0" fillId="6" borderId="14" xfId="0" applyFill="1" applyBorder="1"/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3" fillId="0" borderId="0" xfId="0" applyFont="1"/>
    <xf numFmtId="0" fontId="0" fillId="0" borderId="8" xfId="0" applyBorder="1"/>
    <xf numFmtId="0" fontId="0" fillId="0" borderId="10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13" xfId="0" applyBorder="1"/>
    <xf numFmtId="9" fontId="0" fillId="0" borderId="16" xfId="1" applyFont="1" applyBorder="1"/>
    <xf numFmtId="9" fontId="0" fillId="0" borderId="17" xfId="1" applyFont="1" applyBorder="1"/>
    <xf numFmtId="0" fontId="0" fillId="0" borderId="6" xfId="0" applyBorder="1"/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0" xfId="0" applyFill="1" applyAlignment="1">
      <alignment horizontal="center"/>
    </xf>
    <xf numFmtId="9" fontId="0" fillId="0" borderId="0" xfId="1" applyFont="1"/>
    <xf numFmtId="0" fontId="0" fillId="0" borderId="0" xfId="1" applyNumberFormat="1" applyFon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/>
              <a:t>FO_sem vs FO_com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ComparacaoComEsemMipNoFinal!$B$2:$B$8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321.10000000000002</c:v>
                </c:pt>
                <c:pt idx="2">
                  <c:v>291.7</c:v>
                </c:pt>
                <c:pt idx="3">
                  <c:v>328.8</c:v>
                </c:pt>
                <c:pt idx="4">
                  <c:v>274</c:v>
                </c:pt>
                <c:pt idx="5">
                  <c:v>268.7</c:v>
                </c:pt>
                <c:pt idx="6">
                  <c:v>266.2</c:v>
                </c:pt>
              </c:numCache>
            </c:numRef>
          </c:xVal>
          <c:yVal>
            <c:numRef>
              <c:f>ComparacaoComEsemMipNoFinal!$C$2:$C$8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280</c:v>
                </c:pt>
                <c:pt idx="2">
                  <c:v>269</c:v>
                </c:pt>
                <c:pt idx="3">
                  <c:v>277.7</c:v>
                </c:pt>
                <c:pt idx="4">
                  <c:v>272.7</c:v>
                </c:pt>
                <c:pt idx="5">
                  <c:v>268.7</c:v>
                </c:pt>
                <c:pt idx="6">
                  <c:v>264.2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3-4567-8D5D-E299745C438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ComparacaoComEsemMipNoFinal!$N$3:$N$4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xVal>
          <c:yVal>
            <c:numRef>
              <c:f>ComparacaoComEsemMipNoFinal!$O$3:$O$4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3-4567-8D5D-E299745C4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130832"/>
        <c:axId val="853131792"/>
      </c:scatterChart>
      <c:valAx>
        <c:axId val="853130832"/>
        <c:scaling>
          <c:orientation val="minMax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COM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1792"/>
        <c:crosses val="autoZero"/>
        <c:crossBetween val="midCat"/>
      </c:valAx>
      <c:valAx>
        <c:axId val="8531317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SEM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123133</xdr:colOff>
      <xdr:row>1</xdr:row>
      <xdr:rowOff>67368</xdr:rowOff>
    </xdr:from>
    <xdr:to>
      <xdr:col>20</xdr:col>
      <xdr:colOff>332915</xdr:colOff>
      <xdr:row>31</xdr:row>
      <xdr:rowOff>87314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630E074-41D0-4035-BF4B-50DB39889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96769" y="240550"/>
          <a:ext cx="5058873" cy="52154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448589</xdr:colOff>
      <xdr:row>20</xdr:row>
      <xdr:rowOff>169799</xdr:rowOff>
    </xdr:from>
    <xdr:to>
      <xdr:col>30</xdr:col>
      <xdr:colOff>179008</xdr:colOff>
      <xdr:row>51</xdr:row>
      <xdr:rowOff>38917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169F150-0E11-4811-A9F9-755956127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74862" y="3864344"/>
          <a:ext cx="6461419" cy="5595664"/>
        </a:xfrm>
        <a:prstGeom prst="rect">
          <a:avLst/>
        </a:prstGeom>
      </xdr:spPr>
    </xdr:pic>
    <xdr:clientData/>
  </xdr:twoCellAnchor>
  <xdr:twoCellAnchor editAs="oneCell">
    <xdr:from>
      <xdr:col>23</xdr:col>
      <xdr:colOff>470188</xdr:colOff>
      <xdr:row>5</xdr:row>
      <xdr:rowOff>18011</xdr:rowOff>
    </xdr:from>
    <xdr:to>
      <xdr:col>29</xdr:col>
      <xdr:colOff>572809</xdr:colOff>
      <xdr:row>21</xdr:row>
      <xdr:rowOff>94761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F3F6D44-92EC-49ED-93B6-6D164AEB5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44097" y="941647"/>
          <a:ext cx="3774076" cy="30323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515437</xdr:colOff>
      <xdr:row>6</xdr:row>
      <xdr:rowOff>173173</xdr:rowOff>
    </xdr:from>
    <xdr:to>
      <xdr:col>21</xdr:col>
      <xdr:colOff>226421</xdr:colOff>
      <xdr:row>21</xdr:row>
      <xdr:rowOff>129449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BD93AC7-1C63-415A-85A0-EC7625769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70F38-3AAA-4AE8-A813-A7C28ACA7776}">
  <sheetPr codeName="Planilha1"/>
  <dimension ref="A1:BG109"/>
  <sheetViews>
    <sheetView zoomScale="85" zoomScaleNormal="85" workbookViewId="0">
      <pane ySplit="1" topLeftCell="A11" activePane="bottomLeft" state="frozen"/>
      <selection pane="bottomLeft" activeCell="E15" sqref="E15"/>
    </sheetView>
  </sheetViews>
  <sheetFormatPr defaultRowHeight="14.4"/>
  <cols>
    <col min="1" max="1" width="17.77734375" customWidth="1"/>
    <col min="2" max="2" width="25.21875" customWidth="1"/>
    <col min="3" max="3" width="8.88671875" customWidth="1"/>
    <col min="4" max="4" width="13.77734375" customWidth="1"/>
    <col min="5" max="5" width="16.5546875" bestFit="1" customWidth="1"/>
    <col min="6" max="6" width="15.21875" customWidth="1"/>
    <col min="7" max="7" width="7.109375" customWidth="1"/>
    <col min="8" max="8" width="9.44140625" customWidth="1"/>
    <col min="9" max="9" width="12" bestFit="1" customWidth="1"/>
    <col min="10" max="10" width="2" bestFit="1" customWidth="1"/>
    <col min="11" max="11" width="3.33203125" bestFit="1" customWidth="1"/>
    <col min="12" max="12" width="9.5546875" bestFit="1" customWidth="1"/>
    <col min="13" max="13" width="11.5546875" bestFit="1" customWidth="1"/>
    <col min="14" max="15" width="9.5546875" bestFit="1" customWidth="1"/>
    <col min="16" max="16" width="8.88671875" bestFit="1" customWidth="1"/>
    <col min="17" max="17" width="12.44140625" bestFit="1" customWidth="1"/>
    <col min="18" max="18" width="5.44140625" customWidth="1"/>
    <col min="19" max="19" width="12.109375" bestFit="1" customWidth="1"/>
    <col min="20" max="20" width="9.109375" customWidth="1"/>
    <col min="21" max="21" width="4.77734375" hidden="1" customWidth="1"/>
    <col min="22" max="22" width="12.5546875" customWidth="1"/>
    <col min="23" max="23" width="2.44140625" customWidth="1"/>
    <col min="24" max="25" width="20.33203125" customWidth="1"/>
    <col min="26" max="26" width="12.6640625" customWidth="1"/>
    <col min="28" max="28" width="15" customWidth="1"/>
    <col min="29" max="29" width="17.33203125" bestFit="1" customWidth="1"/>
    <col min="30" max="30" width="9.33203125" bestFit="1" customWidth="1"/>
    <col min="31" max="31" width="11.109375" bestFit="1" customWidth="1"/>
    <col min="32" max="32" width="9.44140625" bestFit="1" customWidth="1"/>
    <col min="36" max="36" width="6.6640625" customWidth="1"/>
    <col min="40" max="40" width="9.33203125" bestFit="1" customWidth="1"/>
    <col min="41" max="41" width="11.109375" bestFit="1" customWidth="1"/>
    <col min="49" max="49" width="22.6640625" customWidth="1"/>
    <col min="50" max="50" width="10" bestFit="1" customWidth="1"/>
    <col min="51" max="51" width="18.88671875" bestFit="1" customWidth="1"/>
  </cols>
  <sheetData>
    <row r="1" spans="1:59">
      <c r="B1" t="s">
        <v>155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V1" t="s">
        <v>51</v>
      </c>
      <c r="Y1" s="74" t="s">
        <v>154</v>
      </c>
      <c r="Z1" s="74"/>
      <c r="AA1" s="74"/>
      <c r="AB1" s="74"/>
      <c r="AC1" s="74"/>
      <c r="AD1" s="74"/>
      <c r="AE1" s="74"/>
      <c r="AF1" s="74"/>
      <c r="AG1" s="74"/>
      <c r="AI1" s="74" t="s">
        <v>345</v>
      </c>
      <c r="AJ1" s="74"/>
      <c r="AK1" s="74"/>
      <c r="AL1" s="74"/>
      <c r="AM1" s="74"/>
      <c r="AN1" s="74"/>
      <c r="AO1" s="74"/>
      <c r="AP1" s="74"/>
      <c r="AQ1" s="74"/>
    </row>
    <row r="2" spans="1:59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  <c r="R2" t="s">
        <v>48</v>
      </c>
      <c r="S2" t="s">
        <v>49</v>
      </c>
      <c r="T2" t="s">
        <v>50</v>
      </c>
      <c r="V2" t="s">
        <v>51</v>
      </c>
      <c r="W2" t="s">
        <v>52</v>
      </c>
      <c r="Y2" s="22" t="s">
        <v>94</v>
      </c>
      <c r="Z2" s="22" t="s">
        <v>95</v>
      </c>
      <c r="AA2" s="22" t="s">
        <v>96</v>
      </c>
      <c r="AB2" s="22" t="s">
        <v>97</v>
      </c>
      <c r="AC2" s="22" t="s">
        <v>98</v>
      </c>
      <c r="AD2" s="22" t="s">
        <v>99</v>
      </c>
      <c r="AE2" s="22" t="s">
        <v>100</v>
      </c>
      <c r="AF2" s="22" t="s">
        <v>101</v>
      </c>
      <c r="AG2" s="22" t="s">
        <v>102</v>
      </c>
      <c r="AI2" s="22" t="s">
        <v>94</v>
      </c>
      <c r="AJ2" s="22" t="s">
        <v>95</v>
      </c>
      <c r="AK2" s="22" t="s">
        <v>96</v>
      </c>
      <c r="AL2" s="22" t="s">
        <v>97</v>
      </c>
      <c r="AM2" s="22" t="s">
        <v>98</v>
      </c>
      <c r="AN2" s="22" t="s">
        <v>99</v>
      </c>
      <c r="AO2" s="22" t="s">
        <v>100</v>
      </c>
      <c r="AP2" s="22" t="s">
        <v>101</v>
      </c>
      <c r="AQ2" s="22" t="s">
        <v>102</v>
      </c>
    </row>
    <row r="3" spans="1:59" ht="15" thickBot="1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18">
        <v>108.8039</v>
      </c>
      <c r="N3" s="19">
        <v>191.81360000000001</v>
      </c>
      <c r="O3" s="19">
        <v>191.81360000000001</v>
      </c>
      <c r="P3" s="3">
        <v>0</v>
      </c>
      <c r="Q3" s="3">
        <v>1</v>
      </c>
      <c r="R3" s="20">
        <v>1</v>
      </c>
      <c r="S3" s="20">
        <v>975</v>
      </c>
      <c r="T3" s="3" t="s">
        <v>135</v>
      </c>
      <c r="U3" s="3" t="s">
        <v>136</v>
      </c>
      <c r="V3" s="6">
        <v>46113.821712962963</v>
      </c>
      <c r="X3" s="6"/>
      <c r="Y3" t="s">
        <v>115</v>
      </c>
      <c r="Z3">
        <v>25</v>
      </c>
      <c r="AA3">
        <v>332</v>
      </c>
      <c r="AB3">
        <v>191.3</v>
      </c>
      <c r="AC3">
        <v>191.3</v>
      </c>
      <c r="AD3">
        <v>3</v>
      </c>
      <c r="AE3">
        <v>1</v>
      </c>
      <c r="AF3">
        <v>498</v>
      </c>
      <c r="AG3">
        <v>18.600000000000001</v>
      </c>
      <c r="AI3" t="s">
        <v>115</v>
      </c>
      <c r="AJ3">
        <v>25</v>
      </c>
      <c r="AL3">
        <v>191.3</v>
      </c>
      <c r="AM3">
        <v>191.3</v>
      </c>
      <c r="AN3">
        <v>3</v>
      </c>
      <c r="AO3">
        <v>1</v>
      </c>
      <c r="AP3">
        <f>S3/AF3</f>
        <v>1.9578313253012047</v>
      </c>
      <c r="AQ3">
        <f>M3/AG3</f>
        <v>5.8496720430107523</v>
      </c>
    </row>
    <row r="4" spans="1:59" ht="15" thickBot="1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18">
        <v>828.12469999999996</v>
      </c>
      <c r="N4" s="19">
        <v>190.73759999999999</v>
      </c>
      <c r="O4" s="19">
        <v>190.73759999999999</v>
      </c>
      <c r="P4" s="3">
        <v>0</v>
      </c>
      <c r="Q4" s="3">
        <v>1</v>
      </c>
      <c r="R4" s="20">
        <v>1</v>
      </c>
      <c r="S4" s="20">
        <v>2391</v>
      </c>
      <c r="T4" s="3" t="s">
        <v>138</v>
      </c>
      <c r="U4" s="3" t="s">
        <v>139</v>
      </c>
      <c r="V4" s="6">
        <v>46113.831516203703</v>
      </c>
      <c r="X4" s="6"/>
      <c r="Y4" t="s">
        <v>116</v>
      </c>
      <c r="Z4">
        <v>25</v>
      </c>
      <c r="AA4">
        <v>473</v>
      </c>
      <c r="AB4">
        <v>190.3</v>
      </c>
      <c r="AC4">
        <v>190.3</v>
      </c>
      <c r="AD4">
        <v>3</v>
      </c>
      <c r="AE4">
        <v>1</v>
      </c>
      <c r="AF4">
        <v>534</v>
      </c>
      <c r="AG4">
        <v>79.7</v>
      </c>
      <c r="AI4" t="s">
        <v>116</v>
      </c>
      <c r="AJ4">
        <v>25</v>
      </c>
      <c r="AL4">
        <v>190.3</v>
      </c>
      <c r="AM4">
        <v>190.3</v>
      </c>
      <c r="AN4">
        <v>3</v>
      </c>
      <c r="AO4">
        <v>1</v>
      </c>
      <c r="AP4">
        <f t="shared" ref="AP4:AP11" si="0">S4/AF4</f>
        <v>4.4775280898876408</v>
      </c>
      <c r="AQ4">
        <f>M4/AG4</f>
        <v>10.390523212045169</v>
      </c>
      <c r="AU4" s="6"/>
      <c r="AX4" s="71" t="s">
        <v>53</v>
      </c>
      <c r="AY4" s="72"/>
      <c r="AZ4" s="72"/>
      <c r="BA4" s="72"/>
      <c r="BB4" s="73"/>
    </row>
    <row r="5" spans="1:59" s="4" customFormat="1">
      <c r="A5" s="3" t="s">
        <v>0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18">
        <v>1009.9421</v>
      </c>
      <c r="N5" s="19">
        <v>190.73759999999999</v>
      </c>
      <c r="O5" s="19">
        <v>190.73759999999999</v>
      </c>
      <c r="P5" s="3">
        <v>0</v>
      </c>
      <c r="Q5" s="3">
        <v>1</v>
      </c>
      <c r="R5" s="20">
        <v>1</v>
      </c>
      <c r="S5" s="20">
        <v>2328</v>
      </c>
      <c r="T5" s="3" t="s">
        <v>141</v>
      </c>
      <c r="U5" s="3" t="s">
        <v>138</v>
      </c>
      <c r="V5" s="6">
        <v>46113.857118055559</v>
      </c>
      <c r="W5"/>
      <c r="X5" s="9"/>
      <c r="Y5" t="s">
        <v>117</v>
      </c>
      <c r="Z5">
        <v>25</v>
      </c>
      <c r="AA5">
        <v>569</v>
      </c>
      <c r="AB5">
        <v>190.3</v>
      </c>
      <c r="AC5">
        <v>190.3</v>
      </c>
      <c r="AD5">
        <v>3</v>
      </c>
      <c r="AE5">
        <v>1</v>
      </c>
      <c r="AF5">
        <v>447</v>
      </c>
      <c r="AG5">
        <v>134.69999999999999</v>
      </c>
      <c r="AH5"/>
      <c r="AI5" t="s">
        <v>117</v>
      </c>
      <c r="AJ5">
        <v>25</v>
      </c>
      <c r="AK5"/>
      <c r="AL5">
        <v>190.3</v>
      </c>
      <c r="AM5">
        <v>190.3</v>
      </c>
      <c r="AN5">
        <v>3</v>
      </c>
      <c r="AO5">
        <v>1</v>
      </c>
      <c r="AP5">
        <f t="shared" si="0"/>
        <v>5.2080536912751674</v>
      </c>
      <c r="AQ5">
        <f t="shared" ref="AQ5:AQ11" si="1">M5/AG5</f>
        <v>7.4977141796585007</v>
      </c>
      <c r="AR5"/>
      <c r="AS5"/>
      <c r="AT5"/>
      <c r="AU5"/>
      <c r="AV5"/>
      <c r="AW5" t="s">
        <v>54</v>
      </c>
      <c r="AX5" t="s">
        <v>55</v>
      </c>
      <c r="AY5" t="s">
        <v>56</v>
      </c>
      <c r="AZ5" t="s">
        <v>57</v>
      </c>
      <c r="BA5" t="s">
        <v>56</v>
      </c>
      <c r="BB5" t="s">
        <v>58</v>
      </c>
    </row>
    <row r="6" spans="1:59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18">
        <v>518.47149999999999</v>
      </c>
      <c r="N6" s="19">
        <v>187.4495</v>
      </c>
      <c r="O6" s="19">
        <v>190.74119999999999</v>
      </c>
      <c r="P6" s="3">
        <v>1.7561</v>
      </c>
      <c r="Q6" s="3">
        <v>0</v>
      </c>
      <c r="R6" s="20">
        <v>1</v>
      </c>
      <c r="S6" s="20">
        <v>2121</v>
      </c>
      <c r="T6" s="3" t="s">
        <v>143</v>
      </c>
      <c r="U6" s="3" t="s">
        <v>144</v>
      </c>
      <c r="V6" s="6">
        <v>46113.877025462964</v>
      </c>
      <c r="X6" s="6"/>
      <c r="Y6" t="s">
        <v>118</v>
      </c>
      <c r="Z6">
        <v>25</v>
      </c>
      <c r="AA6">
        <v>604</v>
      </c>
      <c r="AB6">
        <v>186.9</v>
      </c>
      <c r="AC6">
        <v>186.9</v>
      </c>
      <c r="AD6">
        <v>3</v>
      </c>
      <c r="AE6">
        <v>1</v>
      </c>
      <c r="AF6">
        <v>485</v>
      </c>
      <c r="AG6">
        <v>223.9</v>
      </c>
      <c r="AI6" t="s">
        <v>118</v>
      </c>
      <c r="AJ6">
        <v>25</v>
      </c>
      <c r="AL6">
        <v>186.9</v>
      </c>
      <c r="AM6">
        <v>186.9</v>
      </c>
      <c r="AN6">
        <v>3</v>
      </c>
      <c r="AO6">
        <v>1</v>
      </c>
      <c r="AP6">
        <f t="shared" si="0"/>
        <v>4.3731958762886594</v>
      </c>
      <c r="AQ6">
        <f t="shared" si="1"/>
        <v>2.3156386779812417</v>
      </c>
      <c r="AU6" s="6"/>
      <c r="AW6">
        <v>0</v>
      </c>
      <c r="AX6">
        <f>IFERROR(_xlfn.MAXIFS(tabela_dados!$P:$P,tabela_dados!$E:$E,AW6,tabela_dados!$P:$P,"&gt;=0"),"")</f>
        <v>8.8832764181369719E-2</v>
      </c>
      <c r="AZ6">
        <f>IFERROR(_xlfn.MINIFS(tabela_dados!$P:$P,tabela_dados!$E:$E,AW6,tabela_dados!$P:$P,"&gt;=-999"),"")</f>
        <v>0</v>
      </c>
      <c r="BA6" t="s">
        <v>60</v>
      </c>
      <c r="BB6" t="str">
        <f t="shared" ref="BB6:BB11" si="2">IFERROR(AVERAGEIFS($O:$O,$E:$E,AW6,$O:$O,"&gt;=0"),"")</f>
        <v/>
      </c>
    </row>
    <row r="7" spans="1:59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18">
        <v>684.63710000000003</v>
      </c>
      <c r="N7" s="19">
        <v>191.81360000000001</v>
      </c>
      <c r="O7" s="19">
        <v>191.81360000000001</v>
      </c>
      <c r="P7" s="3">
        <v>0</v>
      </c>
      <c r="Q7" s="3">
        <v>1</v>
      </c>
      <c r="R7" s="20">
        <v>1</v>
      </c>
      <c r="S7" s="20">
        <v>2424</v>
      </c>
      <c r="T7" s="3" t="s">
        <v>146</v>
      </c>
      <c r="U7" s="3" t="s">
        <v>147</v>
      </c>
      <c r="V7" s="6">
        <v>46113.884965277779</v>
      </c>
      <c r="X7" s="6"/>
      <c r="Y7" t="s">
        <v>119</v>
      </c>
      <c r="Z7">
        <v>25</v>
      </c>
      <c r="AA7">
        <v>357</v>
      </c>
      <c r="AB7">
        <v>191.3</v>
      </c>
      <c r="AC7">
        <v>191.3</v>
      </c>
      <c r="AD7">
        <v>3</v>
      </c>
      <c r="AE7">
        <v>1</v>
      </c>
      <c r="AF7">
        <v>531</v>
      </c>
      <c r="AG7">
        <v>25.6</v>
      </c>
      <c r="AI7" t="s">
        <v>119</v>
      </c>
      <c r="AJ7">
        <v>25</v>
      </c>
      <c r="AL7">
        <v>191.3</v>
      </c>
      <c r="AM7">
        <v>191.3</v>
      </c>
      <c r="AN7">
        <v>3</v>
      </c>
      <c r="AO7">
        <v>1</v>
      </c>
      <c r="AP7">
        <f t="shared" si="0"/>
        <v>4.5649717514124291</v>
      </c>
      <c r="AQ7">
        <f t="shared" si="1"/>
        <v>26.74363671875</v>
      </c>
      <c r="AU7" s="6"/>
      <c r="AV7" t="s">
        <v>61</v>
      </c>
      <c r="AW7">
        <v>1</v>
      </c>
      <c r="AX7">
        <f>IFERROR(_xlfn.MAXIFS(tabela_dados!$P:$P,tabela_dados!$E:$E,AW7,tabela_dados!$P:$P,"&gt;=0"),"")</f>
        <v>0.15056296525564783</v>
      </c>
      <c r="AZ7">
        <f>IFERROR(_xlfn.MINIFS(tabela_dados!$P:$P,tabela_dados!$E:$E,AW7,tabela_dados!$P:$P,"&gt;=-999"),"")</f>
        <v>0</v>
      </c>
      <c r="BA7" t="s">
        <v>60</v>
      </c>
      <c r="BB7" t="str">
        <f t="shared" si="2"/>
        <v/>
      </c>
    </row>
    <row r="8" spans="1:59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18">
        <v>418.15649999999999</v>
      </c>
      <c r="N8" s="19">
        <v>191.81360000000001</v>
      </c>
      <c r="O8" s="19">
        <v>191.81360000000001</v>
      </c>
      <c r="P8" s="3">
        <v>0</v>
      </c>
      <c r="Q8" s="3">
        <v>1</v>
      </c>
      <c r="R8" s="20">
        <v>1</v>
      </c>
      <c r="S8" s="20">
        <v>1686</v>
      </c>
      <c r="T8" s="3" t="s">
        <v>149</v>
      </c>
      <c r="U8" s="3" t="s">
        <v>135</v>
      </c>
      <c r="V8" s="6">
        <v>46113.889803240738</v>
      </c>
      <c r="X8" s="6"/>
      <c r="Y8" t="s">
        <v>120</v>
      </c>
      <c r="Z8">
        <v>25</v>
      </c>
      <c r="AA8">
        <v>336</v>
      </c>
      <c r="AB8">
        <v>191.3</v>
      </c>
      <c r="AC8">
        <v>191.3</v>
      </c>
      <c r="AD8">
        <v>3</v>
      </c>
      <c r="AE8">
        <v>1</v>
      </c>
      <c r="AF8">
        <v>447</v>
      </c>
      <c r="AG8">
        <v>20.7</v>
      </c>
      <c r="AI8" t="s">
        <v>120</v>
      </c>
      <c r="AJ8">
        <v>25</v>
      </c>
      <c r="AL8">
        <v>191.3</v>
      </c>
      <c r="AM8">
        <v>191.3</v>
      </c>
      <c r="AN8">
        <v>3</v>
      </c>
      <c r="AO8">
        <v>1</v>
      </c>
      <c r="AP8">
        <f t="shared" si="0"/>
        <v>3.7718120805369129</v>
      </c>
      <c r="AQ8">
        <f t="shared" si="1"/>
        <v>20.200797101449275</v>
      </c>
      <c r="AU8" s="6"/>
      <c r="AV8" t="s">
        <v>62</v>
      </c>
      <c r="AW8">
        <v>2</v>
      </c>
      <c r="AX8">
        <f>IFERROR(_xlfn.MAXIFS(tabela_dados!$P:$P,tabela_dados!$E:$E,AW8,tabela_dados!$P:$P,"&gt;=0"),"")</f>
        <v>4.7165122211912852E-2</v>
      </c>
      <c r="AZ8">
        <f>IFERROR(_xlfn.MINIFS(tabela_dados!$P:$P,tabela_dados!$E:$E,AW8,tabela_dados!$P:$P,"&gt;=-999"),"")</f>
        <v>0</v>
      </c>
      <c r="BA8" t="s">
        <v>60</v>
      </c>
      <c r="BB8" t="str">
        <f t="shared" si="2"/>
        <v/>
      </c>
    </row>
    <row r="9" spans="1:59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18">
        <v>340.22050000000002</v>
      </c>
      <c r="N9" s="19">
        <v>191.81360000000001</v>
      </c>
      <c r="O9" s="19">
        <v>191.81360000000001</v>
      </c>
      <c r="P9" s="3">
        <v>0</v>
      </c>
      <c r="Q9" s="3">
        <v>1</v>
      </c>
      <c r="R9" s="20">
        <v>1</v>
      </c>
      <c r="S9" s="20">
        <v>2040</v>
      </c>
      <c r="T9" s="3" t="s">
        <v>147</v>
      </c>
      <c r="U9" s="3" t="s">
        <v>135</v>
      </c>
      <c r="V9" s="6">
        <v>46113.893750000003</v>
      </c>
      <c r="X9" s="6"/>
      <c r="Y9" t="s">
        <v>121</v>
      </c>
      <c r="Z9">
        <v>25</v>
      </c>
      <c r="AA9">
        <v>377</v>
      </c>
      <c r="AB9">
        <v>191.3</v>
      </c>
      <c r="AC9">
        <v>191.3</v>
      </c>
      <c r="AD9">
        <v>3</v>
      </c>
      <c r="AE9">
        <v>1</v>
      </c>
      <c r="AF9">
        <v>514</v>
      </c>
      <c r="AG9">
        <v>31.7</v>
      </c>
      <c r="AI9" t="s">
        <v>121</v>
      </c>
      <c r="AJ9">
        <v>25</v>
      </c>
      <c r="AL9">
        <v>191.3</v>
      </c>
      <c r="AM9">
        <v>191.3</v>
      </c>
      <c r="AN9">
        <v>3</v>
      </c>
      <c r="AO9">
        <v>1</v>
      </c>
      <c r="AP9">
        <f t="shared" si="0"/>
        <v>3.9688715953307394</v>
      </c>
      <c r="AQ9">
        <f t="shared" si="1"/>
        <v>10.732507886435332</v>
      </c>
      <c r="AU9" s="6"/>
      <c r="AV9" t="s">
        <v>63</v>
      </c>
      <c r="AW9">
        <v>3</v>
      </c>
      <c r="AX9">
        <f>IFERROR(_xlfn.MAXIFS(tabela_dados!$P:$P,tabela_dados!$E:$E,AW9,tabela_dados!$P:$P,"&gt;=0"),"")</f>
        <v>7.7869239483573091E-2</v>
      </c>
      <c r="AZ9">
        <f>IFERROR(_xlfn.MINIFS(tabela_dados!$P:$P,tabela_dados!$E:$E,AW9,tabela_dados!$P:$P,"&gt;=-999"),"")</f>
        <v>0</v>
      </c>
      <c r="BA9" t="s">
        <v>60</v>
      </c>
      <c r="BB9" t="str">
        <f t="shared" si="2"/>
        <v/>
      </c>
    </row>
    <row r="10" spans="1:59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18">
        <v>683.34199999999998</v>
      </c>
      <c r="N10" s="19">
        <v>191.81360000000001</v>
      </c>
      <c r="O10" s="19">
        <v>191.81360000000001</v>
      </c>
      <c r="P10" s="3">
        <v>0</v>
      </c>
      <c r="Q10" s="3">
        <v>1</v>
      </c>
      <c r="R10" s="20">
        <v>1</v>
      </c>
      <c r="S10" s="20">
        <v>2415</v>
      </c>
      <c r="T10" s="3" t="s">
        <v>152</v>
      </c>
      <c r="U10" s="3" t="s">
        <v>135</v>
      </c>
      <c r="V10" s="6">
        <v>46113.901828703703</v>
      </c>
      <c r="X10" s="6"/>
      <c r="Y10" t="s">
        <v>122</v>
      </c>
      <c r="Z10">
        <v>25</v>
      </c>
      <c r="AA10">
        <v>431</v>
      </c>
      <c r="AB10">
        <v>191.3</v>
      </c>
      <c r="AC10">
        <v>191.3</v>
      </c>
      <c r="AD10">
        <v>3</v>
      </c>
      <c r="AE10">
        <v>1</v>
      </c>
      <c r="AF10">
        <v>513</v>
      </c>
      <c r="AG10">
        <v>43.1</v>
      </c>
      <c r="AI10" t="s">
        <v>122</v>
      </c>
      <c r="AJ10">
        <v>25</v>
      </c>
      <c r="AL10">
        <v>191.3</v>
      </c>
      <c r="AM10">
        <v>191.3</v>
      </c>
      <c r="AN10">
        <v>3</v>
      </c>
      <c r="AO10">
        <v>1</v>
      </c>
      <c r="AP10">
        <f t="shared" si="0"/>
        <v>4.7076023391812862</v>
      </c>
      <c r="AQ10">
        <f t="shared" si="1"/>
        <v>15.854802784222738</v>
      </c>
      <c r="AU10" s="6" t="s">
        <v>133</v>
      </c>
      <c r="AV10" t="s">
        <v>65</v>
      </c>
      <c r="AW10">
        <v>22</v>
      </c>
      <c r="AX10">
        <f>IFERROR(_xlfn.MAXIFS(tabela_dados!$P:$P,tabela_dados!$E:$E,AW10,tabela_dados!$P:$P,"&gt;=0"),"")</f>
        <v>0.20591350592818206</v>
      </c>
      <c r="AZ10">
        <f>IFERROR(_xlfn.MINIFS(tabela_dados!$P:$P,tabela_dados!$E:$E,AW10,tabela_dados!$P:$P,"&gt;=-999"),"")</f>
        <v>0</v>
      </c>
      <c r="BA10" t="s">
        <v>60</v>
      </c>
      <c r="BB10" t="str">
        <f t="shared" si="2"/>
        <v/>
      </c>
    </row>
    <row r="11" spans="1:59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18">
        <v>905.86469999999997</v>
      </c>
      <c r="N11" s="19">
        <v>191.81360000000001</v>
      </c>
      <c r="O11" s="19">
        <v>191.81360000000001</v>
      </c>
      <c r="P11" s="3">
        <v>0</v>
      </c>
      <c r="Q11" s="3">
        <v>1</v>
      </c>
      <c r="R11" s="20">
        <v>1</v>
      </c>
      <c r="S11" s="20">
        <v>2028</v>
      </c>
      <c r="T11" s="3" t="s">
        <v>136</v>
      </c>
      <c r="U11" s="3" t="s">
        <v>146</v>
      </c>
      <c r="V11" s="6">
        <v>46113.926215277781</v>
      </c>
      <c r="X11" s="6"/>
      <c r="Y11" t="s">
        <v>123</v>
      </c>
      <c r="Z11">
        <v>25</v>
      </c>
      <c r="AA11">
        <v>482</v>
      </c>
      <c r="AB11">
        <v>189.4</v>
      </c>
      <c r="AC11">
        <v>191.3</v>
      </c>
      <c r="AD11">
        <v>3</v>
      </c>
      <c r="AE11">
        <v>3</v>
      </c>
      <c r="AF11">
        <v>1747</v>
      </c>
      <c r="AG11">
        <v>585.4</v>
      </c>
      <c r="AI11" t="s">
        <v>123</v>
      </c>
      <c r="AJ11">
        <v>25</v>
      </c>
      <c r="AL11">
        <v>189.4</v>
      </c>
      <c r="AM11">
        <v>191.3</v>
      </c>
      <c r="AN11">
        <v>3</v>
      </c>
      <c r="AO11">
        <v>3</v>
      </c>
      <c r="AP11">
        <f t="shared" si="0"/>
        <v>1.160847166571265</v>
      </c>
      <c r="AQ11">
        <f t="shared" si="1"/>
        <v>1.5474285958319098</v>
      </c>
      <c r="AU11" s="6"/>
      <c r="AV11" t="s">
        <v>67</v>
      </c>
      <c r="AW11">
        <v>10</v>
      </c>
      <c r="AX11">
        <f>IFERROR(_xlfn.MAXIFS(tabela_dados!$P:$P,tabela_dados!$E:$E,AW11,tabela_dados!$P:$P,"&gt;=0"),"")</f>
        <v>3.2710523091011946E-2</v>
      </c>
      <c r="AZ11">
        <f>IFERROR(_xlfn.MINIFS(tabela_dados!$P:$P,tabela_dados!$E:$E,AW11,tabela_dados!$P:$P,"&gt;=-999"),"")</f>
        <v>0</v>
      </c>
      <c r="BA11" t="s">
        <v>60</v>
      </c>
      <c r="BB11">
        <f t="shared" si="2"/>
        <v>291.01204181818184</v>
      </c>
      <c r="BG11">
        <v>2</v>
      </c>
    </row>
    <row r="12" spans="1:59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>
        <v>3940.9443000000001</v>
      </c>
      <c r="N12" s="5">
        <v>268.53250000000003</v>
      </c>
      <c r="O12" s="5">
        <v>268.85309999999998</v>
      </c>
      <c r="P12" s="5">
        <v>0.11940000000000001</v>
      </c>
      <c r="Q12" s="3">
        <v>0</v>
      </c>
      <c r="R12" s="3">
        <v>97</v>
      </c>
      <c r="S12" s="3">
        <v>2682</v>
      </c>
      <c r="T12" s="3" t="s">
        <v>23</v>
      </c>
      <c r="U12" s="3"/>
      <c r="V12" s="3" t="s">
        <v>24</v>
      </c>
      <c r="W12" s="6">
        <v>46115.056087962963</v>
      </c>
      <c r="X12" s="6"/>
      <c r="AU12" s="6"/>
    </row>
    <row r="13" spans="1:59" ht="15" thickBot="1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>
        <v>6590.9755999999998</v>
      </c>
      <c r="N13" s="5">
        <v>271.5942</v>
      </c>
      <c r="O13" s="5">
        <v>277.78840000000002</v>
      </c>
      <c r="P13" s="5">
        <v>2.2806999999999999</v>
      </c>
      <c r="Q13" s="3">
        <v>0</v>
      </c>
      <c r="R13" s="3">
        <v>2</v>
      </c>
      <c r="S13" s="3">
        <v>1593</v>
      </c>
      <c r="T13" s="3" t="s">
        <v>25</v>
      </c>
      <c r="U13" s="3"/>
      <c r="V13" s="3" t="s">
        <v>26</v>
      </c>
      <c r="W13" s="6">
        <v>46115.134699074071</v>
      </c>
      <c r="X13" s="6"/>
      <c r="Y13" t="s">
        <v>342</v>
      </c>
      <c r="AU13" s="6"/>
    </row>
    <row r="14" spans="1:59" ht="15" thickBot="1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>
        <v>13985.747300000001</v>
      </c>
      <c r="N14" s="5">
        <v>276.62419999999997</v>
      </c>
      <c r="O14" s="5">
        <v>-1</v>
      </c>
      <c r="P14" s="5"/>
      <c r="Q14" s="3"/>
      <c r="R14" s="3">
        <v>0</v>
      </c>
      <c r="S14" s="3">
        <v>0</v>
      </c>
      <c r="T14" s="3" t="s">
        <v>27</v>
      </c>
      <c r="U14" s="3"/>
      <c r="V14" s="3" t="s">
        <v>28</v>
      </c>
      <c r="W14" s="6">
        <v>46115.298611111109</v>
      </c>
      <c r="X14" s="6"/>
      <c r="AU14" s="6"/>
      <c r="AX14" s="71" t="s">
        <v>69</v>
      </c>
      <c r="AY14" s="72"/>
      <c r="AZ14" s="72"/>
      <c r="BA14" s="72"/>
      <c r="BB14" s="73"/>
    </row>
    <row r="15" spans="1:59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>
        <v>10859.95</v>
      </c>
      <c r="N15" s="5">
        <v>278.8716</v>
      </c>
      <c r="O15" s="5">
        <v>284.46120000000002</v>
      </c>
      <c r="P15" s="5">
        <v>2.0044</v>
      </c>
      <c r="Q15" s="3">
        <v>0</v>
      </c>
      <c r="R15" s="3">
        <v>2</v>
      </c>
      <c r="S15" s="3">
        <v>2583</v>
      </c>
      <c r="T15" s="3" t="s">
        <v>29</v>
      </c>
      <c r="U15" s="3"/>
      <c r="V15" s="3" t="s">
        <v>30</v>
      </c>
      <c r="W15" s="6">
        <v>46115.426631944443</v>
      </c>
      <c r="X15" s="6"/>
      <c r="AU15" s="6"/>
      <c r="AW15" t="s">
        <v>54</v>
      </c>
      <c r="AX15" t="s">
        <v>55</v>
      </c>
      <c r="AY15" t="s">
        <v>56</v>
      </c>
      <c r="AZ15" t="s">
        <v>57</v>
      </c>
      <c r="BA15" t="s">
        <v>56</v>
      </c>
      <c r="BB15" t="s">
        <v>58</v>
      </c>
    </row>
    <row r="16" spans="1:59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>
        <v>4307.8068000000003</v>
      </c>
      <c r="N16" s="3">
        <v>268.53250000000003</v>
      </c>
      <c r="O16" s="3">
        <v>280.87549999999999</v>
      </c>
      <c r="P16" s="3">
        <v>4.5964</v>
      </c>
      <c r="Q16" s="3">
        <v>0</v>
      </c>
      <c r="R16" s="3">
        <v>2</v>
      </c>
      <c r="S16" s="3">
        <v>1518</v>
      </c>
      <c r="T16" s="3" t="s">
        <v>83</v>
      </c>
      <c r="U16" s="3"/>
      <c r="V16" s="3" t="s">
        <v>84</v>
      </c>
      <c r="W16" s="6">
        <v>46115.478819444441</v>
      </c>
      <c r="X16" s="6"/>
      <c r="Y16" s="74" t="s">
        <v>154</v>
      </c>
      <c r="Z16" s="74"/>
      <c r="AA16" s="74"/>
      <c r="AB16" s="74"/>
      <c r="AC16" s="74"/>
      <c r="AD16" s="74"/>
      <c r="AE16" s="74"/>
      <c r="AF16" s="74"/>
      <c r="AG16" s="74"/>
      <c r="AI16" s="74" t="s">
        <v>346</v>
      </c>
      <c r="AJ16" s="74"/>
      <c r="AK16" s="74"/>
      <c r="AL16" s="74"/>
      <c r="AM16" s="74"/>
      <c r="AN16" s="74"/>
      <c r="AO16" s="74"/>
      <c r="AP16" s="74"/>
      <c r="AQ16" s="74"/>
      <c r="AU16" s="6"/>
      <c r="AW16">
        <v>0</v>
      </c>
      <c r="AX16">
        <f>IFERROR(_xlfn.MAXIFS(tabela_dados!$M:$M,tabela_dados!$E:$E,AW16,tabela_dados!$M:$M,"&gt;=0"),"")</f>
        <v>3999.3000999999999</v>
      </c>
      <c r="AY16" t="s">
        <v>59</v>
      </c>
      <c r="AZ16">
        <v>67.948899999999995</v>
      </c>
      <c r="BB16">
        <v>1577.3655799999999</v>
      </c>
    </row>
    <row r="17" spans="1:54" ht="15" thickBot="1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>
        <v>3717.1342</v>
      </c>
      <c r="N17" s="3">
        <v>266.56959999999998</v>
      </c>
      <c r="O17" s="3">
        <v>278.49029999999999</v>
      </c>
      <c r="P17" s="3">
        <v>4.4718999999999998</v>
      </c>
      <c r="Q17" s="3">
        <v>0</v>
      </c>
      <c r="R17" s="3">
        <v>30</v>
      </c>
      <c r="S17" s="3">
        <v>1662</v>
      </c>
      <c r="T17" s="3" t="s">
        <v>86</v>
      </c>
      <c r="U17" s="3"/>
      <c r="V17" s="3" t="s">
        <v>87</v>
      </c>
      <c r="W17" s="6">
        <v>46115.52416666667</v>
      </c>
      <c r="X17" s="6"/>
      <c r="Y17" t="s">
        <v>94</v>
      </c>
      <c r="Z17" t="s">
        <v>95</v>
      </c>
      <c r="AA17" t="s">
        <v>96</v>
      </c>
      <c r="AB17" t="s">
        <v>97</v>
      </c>
      <c r="AC17" t="s">
        <v>98</v>
      </c>
      <c r="AD17" t="s">
        <v>99</v>
      </c>
      <c r="AE17" t="s">
        <v>100</v>
      </c>
      <c r="AF17" t="s">
        <v>101</v>
      </c>
      <c r="AG17" t="s">
        <v>102</v>
      </c>
      <c r="AI17" t="s">
        <v>94</v>
      </c>
      <c r="AJ17" t="s">
        <v>95</v>
      </c>
      <c r="AK17" t="s">
        <v>96</v>
      </c>
      <c r="AL17" t="s">
        <v>97</v>
      </c>
      <c r="AM17" t="s">
        <v>98</v>
      </c>
      <c r="AN17" t="s">
        <v>99</v>
      </c>
      <c r="AO17" t="s">
        <v>100</v>
      </c>
      <c r="AP17" t="s">
        <v>101</v>
      </c>
      <c r="AQ17" t="s">
        <v>102</v>
      </c>
      <c r="AU17" s="6"/>
      <c r="AW17">
        <v>1</v>
      </c>
      <c r="AX17">
        <f>IFERROR(_xlfn.MAXIFS(tabela_dados!$M:$M,tabela_dados!$E:$E,AW17,tabela_dados!$M:$M,"&gt;=0"),"")</f>
        <v>3786.1477</v>
      </c>
      <c r="AY17" t="s">
        <v>70</v>
      </c>
      <c r="AZ17">
        <v>20.212499999999999</v>
      </c>
      <c r="BB17">
        <v>1251.4237000000001</v>
      </c>
    </row>
    <row r="18" spans="1:54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>
        <v>3630.654</v>
      </c>
      <c r="N18" s="3">
        <v>264.63189999999997</v>
      </c>
      <c r="O18" s="3">
        <v>274.4477</v>
      </c>
      <c r="P18" s="3">
        <v>3.7092999999999998</v>
      </c>
      <c r="Q18" s="3">
        <v>0</v>
      </c>
      <c r="R18" s="3">
        <v>176</v>
      </c>
      <c r="S18" s="3">
        <v>2382</v>
      </c>
      <c r="T18" s="3" t="s">
        <v>89</v>
      </c>
      <c r="U18" s="3"/>
      <c r="V18" s="3" t="s">
        <v>90</v>
      </c>
      <c r="W18" s="6">
        <v>46115.568506944444</v>
      </c>
      <c r="X18" s="6"/>
      <c r="Y18" t="s">
        <v>115</v>
      </c>
      <c r="Z18">
        <v>25</v>
      </c>
      <c r="AA18">
        <v>332</v>
      </c>
      <c r="AB18">
        <v>191.3</v>
      </c>
      <c r="AC18" s="50">
        <v>191.3</v>
      </c>
      <c r="AD18">
        <v>3</v>
      </c>
      <c r="AE18">
        <v>1</v>
      </c>
      <c r="AF18">
        <v>498</v>
      </c>
      <c r="AG18">
        <v>18.600000000000001</v>
      </c>
      <c r="AI18" t="s">
        <v>115</v>
      </c>
      <c r="AJ18">
        <v>25</v>
      </c>
      <c r="AL18">
        <v>191.3</v>
      </c>
      <c r="AM18">
        <v>191.3</v>
      </c>
      <c r="AN18">
        <v>3</v>
      </c>
      <c r="AO18">
        <v>1</v>
      </c>
      <c r="AP18">
        <f>S57/AF18</f>
        <v>2.5783132530120483</v>
      </c>
      <c r="AQ18">
        <f>M57/AG18</f>
        <v>12.595618279569893</v>
      </c>
      <c r="AU18" s="6"/>
      <c r="AW18">
        <v>2</v>
      </c>
      <c r="AX18">
        <f>IFERROR(_xlfn.MAXIFS(tabela_dados!$M:$M,tabela_dados!$E:$E,AW18,tabela_dados!$M:$M,"&gt;=0"),"")</f>
        <v>4212.7161999999998</v>
      </c>
      <c r="AY18" t="s">
        <v>70</v>
      </c>
      <c r="AZ18">
        <v>23.310600000000001</v>
      </c>
      <c r="BB18">
        <v>1214.44336</v>
      </c>
    </row>
    <row r="19" spans="1:54" ht="15" thickBot="1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>
        <v>3607.9214000000002</v>
      </c>
      <c r="N19" s="3">
        <v>265.80970000000002</v>
      </c>
      <c r="O19" s="3">
        <v>273.08390000000003</v>
      </c>
      <c r="P19" s="3">
        <v>2.7366000000000001</v>
      </c>
      <c r="Q19" s="3">
        <v>0</v>
      </c>
      <c r="R19" s="3">
        <v>58</v>
      </c>
      <c r="S19" s="3">
        <v>3141</v>
      </c>
      <c r="T19" s="3" t="s">
        <v>92</v>
      </c>
      <c r="U19" s="3"/>
      <c r="V19" s="3" t="s">
        <v>93</v>
      </c>
      <c r="W19" s="6">
        <v>46115.612581018519</v>
      </c>
      <c r="X19" s="6"/>
      <c r="Y19" t="s">
        <v>116</v>
      </c>
      <c r="Z19">
        <v>25</v>
      </c>
      <c r="AA19">
        <v>473</v>
      </c>
      <c r="AB19">
        <v>190.3</v>
      </c>
      <c r="AC19" s="70">
        <v>190.3</v>
      </c>
      <c r="AD19">
        <v>3</v>
      </c>
      <c r="AE19">
        <v>1</v>
      </c>
      <c r="AF19">
        <v>534</v>
      </c>
      <c r="AG19">
        <v>79.7</v>
      </c>
      <c r="AI19" t="s">
        <v>116</v>
      </c>
      <c r="AJ19">
        <v>25</v>
      </c>
      <c r="AL19">
        <v>190.3</v>
      </c>
      <c r="AM19">
        <v>190.3</v>
      </c>
      <c r="AN19">
        <v>3</v>
      </c>
      <c r="AO19">
        <v>1</v>
      </c>
      <c r="AP19">
        <f t="shared" ref="AP19:AP26" si="3">S58/AF19</f>
        <v>4.797752808988764</v>
      </c>
      <c r="AQ19">
        <f t="shared" ref="AQ19:AQ26" si="4">M58/AG19</f>
        <v>8.6300000000000008</v>
      </c>
      <c r="AU19" s="6"/>
      <c r="AW19">
        <v>3</v>
      </c>
      <c r="AX19">
        <f>IFERROR(_xlfn.MAXIFS(tabela_dados!$M:$M,tabela_dados!$E:$E,AW19,tabela_dados!$M:$M,"&gt;=0"),"")</f>
        <v>3633.8024999999998</v>
      </c>
      <c r="AY19" t="s">
        <v>59</v>
      </c>
      <c r="AZ19">
        <v>2.2683</v>
      </c>
      <c r="BB19">
        <v>814.73283330000004</v>
      </c>
    </row>
    <row r="20" spans="1:54" ht="15" thickBot="1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43">
        <v>83.838300000000004</v>
      </c>
      <c r="N20" s="5">
        <v>618.32989999999995</v>
      </c>
      <c r="O20" s="43">
        <v>618.32989999999995</v>
      </c>
      <c r="P20" s="5">
        <v>0</v>
      </c>
      <c r="Q20" s="3">
        <v>1</v>
      </c>
      <c r="R20" s="3">
        <v>3</v>
      </c>
      <c r="S20" s="3">
        <v>1288</v>
      </c>
      <c r="T20" s="3" t="s">
        <v>2</v>
      </c>
      <c r="U20" s="3"/>
      <c r="V20" s="3" t="s">
        <v>3</v>
      </c>
      <c r="W20" s="6">
        <v>46114.686435185184</v>
      </c>
      <c r="X20" s="6"/>
      <c r="Y20" t="s">
        <v>117</v>
      </c>
      <c r="Z20">
        <v>25</v>
      </c>
      <c r="AA20">
        <v>569</v>
      </c>
      <c r="AB20">
        <v>190.3</v>
      </c>
      <c r="AC20" s="70">
        <v>190.3</v>
      </c>
      <c r="AD20">
        <v>3</v>
      </c>
      <c r="AE20">
        <v>1</v>
      </c>
      <c r="AF20">
        <v>447</v>
      </c>
      <c r="AG20">
        <v>134.69999999999999</v>
      </c>
      <c r="AI20" t="s">
        <v>117</v>
      </c>
      <c r="AJ20">
        <v>25</v>
      </c>
      <c r="AL20">
        <v>190.3</v>
      </c>
      <c r="AM20">
        <v>190.3</v>
      </c>
      <c r="AN20">
        <v>3</v>
      </c>
      <c r="AO20">
        <v>1</v>
      </c>
      <c r="AP20">
        <f t="shared" si="3"/>
        <v>5.7046979865771812</v>
      </c>
      <c r="AQ20">
        <f t="shared" si="4"/>
        <v>24.444556792873051</v>
      </c>
      <c r="AU20" s="6"/>
      <c r="AW20">
        <v>22</v>
      </c>
      <c r="AX20">
        <f>IFERROR(_xlfn.MAXIFS(tabela_dados!$M:$M,tabela_dados!$E:$E,AW20,tabela_dados!$M:$M,"&gt;=0"),"")</f>
        <v>4555</v>
      </c>
      <c r="AY20" t="s">
        <v>70</v>
      </c>
      <c r="AZ20">
        <v>99.904700000000005</v>
      </c>
      <c r="BB20">
        <v>2195.5316069999999</v>
      </c>
    </row>
    <row r="21" spans="1:54" ht="15" thickBot="1">
      <c r="A21" s="1" t="s">
        <v>0</v>
      </c>
      <c r="B21" s="50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44">
        <v>3688.5971</v>
      </c>
      <c r="N21" s="5">
        <v>548.1078</v>
      </c>
      <c r="O21" s="44">
        <v>548.1078</v>
      </c>
      <c r="P21" s="5">
        <v>0</v>
      </c>
      <c r="Q21" s="3">
        <v>1</v>
      </c>
      <c r="R21" s="3">
        <v>272</v>
      </c>
      <c r="S21" s="3">
        <v>2170</v>
      </c>
      <c r="T21" s="3" t="s">
        <v>4</v>
      </c>
      <c r="U21" s="3"/>
      <c r="V21" s="3" t="s">
        <v>5</v>
      </c>
      <c r="W21" s="6">
        <v>46114.731446759259</v>
      </c>
      <c r="X21" s="6"/>
      <c r="Y21" s="6" t="s">
        <v>118</v>
      </c>
      <c r="Z21">
        <v>25</v>
      </c>
      <c r="AA21">
        <v>604</v>
      </c>
      <c r="AB21">
        <v>186.9</v>
      </c>
      <c r="AC21">
        <v>186.9</v>
      </c>
      <c r="AD21">
        <v>3</v>
      </c>
      <c r="AE21">
        <v>1</v>
      </c>
      <c r="AF21">
        <v>485</v>
      </c>
      <c r="AG21">
        <v>223.9</v>
      </c>
      <c r="AI21" t="s">
        <v>118</v>
      </c>
      <c r="AJ21">
        <v>25</v>
      </c>
      <c r="AL21">
        <v>186.9</v>
      </c>
      <c r="AM21">
        <v>186.9</v>
      </c>
      <c r="AN21">
        <v>3</v>
      </c>
      <c r="AO21">
        <v>1</v>
      </c>
      <c r="AP21">
        <f t="shared" si="3"/>
        <v>5.2268041237113403</v>
      </c>
      <c r="AQ21">
        <f t="shared" si="4"/>
        <v>4.8335176418043773</v>
      </c>
      <c r="AU21" s="6"/>
      <c r="AW21">
        <v>10</v>
      </c>
      <c r="AX21">
        <f>IFERROR(_xlfn.MAXIFS(tabela_dados!$M:$M,tabela_dados!$E:$E,AW21,tabela_dados!$M:$M,"&gt;=0"),"")</f>
        <v>3346.43</v>
      </c>
      <c r="AY21" t="s">
        <v>71</v>
      </c>
      <c r="AZ21">
        <v>25.3171</v>
      </c>
      <c r="BB21">
        <v>545.35545709999997</v>
      </c>
    </row>
    <row r="22" spans="1:54">
      <c r="A22" s="1" t="s">
        <v>0</v>
      </c>
      <c r="B22" s="51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45">
        <v>1528.8381999999999</v>
      </c>
      <c r="N22" s="8">
        <v>490.97340000000003</v>
      </c>
      <c r="O22" s="45">
        <v>455.69819999999999</v>
      </c>
      <c r="P22" s="8">
        <v>-7.1847000000000003</v>
      </c>
      <c r="Q22" s="7">
        <v>0</v>
      </c>
      <c r="R22" s="7">
        <v>1</v>
      </c>
      <c r="S22" s="7">
        <v>1965</v>
      </c>
      <c r="T22" s="7" t="s">
        <v>6</v>
      </c>
      <c r="U22" s="7"/>
      <c r="V22" s="7" t="s">
        <v>7</v>
      </c>
      <c r="W22" s="9">
        <v>46114.751469907409</v>
      </c>
      <c r="X22" s="6"/>
      <c r="Y22" s="6" t="s">
        <v>119</v>
      </c>
      <c r="Z22">
        <v>25</v>
      </c>
      <c r="AA22">
        <v>357</v>
      </c>
      <c r="AB22">
        <v>191.3</v>
      </c>
      <c r="AC22" s="50">
        <v>191.3</v>
      </c>
      <c r="AD22">
        <v>3</v>
      </c>
      <c r="AE22">
        <v>1</v>
      </c>
      <c r="AF22">
        <v>531</v>
      </c>
      <c r="AG22">
        <v>25.6</v>
      </c>
      <c r="AI22" t="s">
        <v>119</v>
      </c>
      <c r="AJ22">
        <v>25</v>
      </c>
      <c r="AL22">
        <v>191.3</v>
      </c>
      <c r="AM22">
        <v>191.3</v>
      </c>
      <c r="AN22">
        <v>3</v>
      </c>
      <c r="AO22">
        <v>1</v>
      </c>
      <c r="AP22">
        <f t="shared" si="3"/>
        <v>4.4350282485875709</v>
      </c>
      <c r="AQ22">
        <f t="shared" si="4"/>
        <v>29.717804687499999</v>
      </c>
    </row>
    <row r="23" spans="1:54">
      <c r="A23" s="1" t="s">
        <v>0</v>
      </c>
      <c r="B23" s="52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44">
        <v>848.95150000000001</v>
      </c>
      <c r="N23" s="5">
        <v>-1</v>
      </c>
      <c r="O23" s="44">
        <v>417.96120000000002</v>
      </c>
      <c r="P23" s="5"/>
      <c r="Q23" s="3"/>
      <c r="R23" s="3">
        <v>1</v>
      </c>
      <c r="S23" s="3">
        <v>1848</v>
      </c>
      <c r="T23" s="3" t="s">
        <v>8</v>
      </c>
      <c r="U23" s="3"/>
      <c r="V23" s="3" t="s">
        <v>9</v>
      </c>
      <c r="W23" s="6">
        <v>46114.763622685183</v>
      </c>
      <c r="Y23" t="s">
        <v>120</v>
      </c>
      <c r="Z23">
        <v>25</v>
      </c>
      <c r="AA23">
        <v>336</v>
      </c>
      <c r="AB23">
        <v>191.3</v>
      </c>
      <c r="AC23" s="52">
        <v>191.3</v>
      </c>
      <c r="AD23">
        <v>3</v>
      </c>
      <c r="AE23">
        <v>1</v>
      </c>
      <c r="AF23">
        <v>447</v>
      </c>
      <c r="AG23">
        <v>20.7</v>
      </c>
      <c r="AI23" t="s">
        <v>120</v>
      </c>
      <c r="AJ23">
        <v>25</v>
      </c>
      <c r="AL23">
        <v>191.3</v>
      </c>
      <c r="AM23">
        <v>191.3</v>
      </c>
      <c r="AN23">
        <v>3</v>
      </c>
      <c r="AO23">
        <v>1</v>
      </c>
      <c r="AP23">
        <f t="shared" si="3"/>
        <v>2.7651006711409396</v>
      </c>
      <c r="AQ23">
        <f t="shared" si="4"/>
        <v>8.7605555555555554</v>
      </c>
    </row>
    <row r="24" spans="1:54">
      <c r="A24" s="1" t="s">
        <v>0</v>
      </c>
      <c r="B24" s="52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44">
        <v>267.18189999999998</v>
      </c>
      <c r="N24" s="5">
        <v>531.53859999999997</v>
      </c>
      <c r="O24" s="44">
        <v>531.53859999999997</v>
      </c>
      <c r="P24" s="5">
        <v>0</v>
      </c>
      <c r="Q24" s="3">
        <v>1</v>
      </c>
      <c r="R24" s="3">
        <v>1</v>
      </c>
      <c r="S24" s="3">
        <v>1404</v>
      </c>
      <c r="T24" s="3" t="s">
        <v>10</v>
      </c>
      <c r="U24" s="3"/>
      <c r="V24" s="3" t="s">
        <v>11</v>
      </c>
      <c r="W24" s="6">
        <v>46114.767013888886</v>
      </c>
      <c r="Y24" t="s">
        <v>121</v>
      </c>
      <c r="Z24">
        <v>25</v>
      </c>
      <c r="AA24">
        <v>377</v>
      </c>
      <c r="AB24">
        <v>191.3</v>
      </c>
      <c r="AC24" s="52">
        <v>191.3</v>
      </c>
      <c r="AD24">
        <v>3</v>
      </c>
      <c r="AE24">
        <v>1</v>
      </c>
      <c r="AF24">
        <v>514</v>
      </c>
      <c r="AG24">
        <v>31.7</v>
      </c>
      <c r="AI24" t="s">
        <v>121</v>
      </c>
      <c r="AJ24">
        <v>25</v>
      </c>
      <c r="AL24">
        <v>191.3</v>
      </c>
      <c r="AM24">
        <v>191.3</v>
      </c>
      <c r="AN24">
        <v>3</v>
      </c>
      <c r="AO24">
        <v>1</v>
      </c>
      <c r="AP24">
        <f t="shared" si="3"/>
        <v>5.6848249027237356</v>
      </c>
      <c r="AQ24">
        <f t="shared" si="4"/>
        <v>34.919059936908518</v>
      </c>
    </row>
    <row r="25" spans="1:54" ht="15" thickBot="1">
      <c r="A25" s="1" t="s">
        <v>0</v>
      </c>
      <c r="B25" s="52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44">
        <v>3642.4569000000001</v>
      </c>
      <c r="N25" s="5">
        <v>466.48020000000002</v>
      </c>
      <c r="O25" s="44">
        <v>466.48020000000002</v>
      </c>
      <c r="P25" s="5">
        <v>0</v>
      </c>
      <c r="Q25" s="3">
        <v>1</v>
      </c>
      <c r="R25" s="3">
        <v>151</v>
      </c>
      <c r="S25" s="3">
        <v>2525</v>
      </c>
      <c r="T25" s="3" t="s">
        <v>12</v>
      </c>
      <c r="U25" s="3"/>
      <c r="V25" s="3" t="s">
        <v>13</v>
      </c>
      <c r="W25" s="6">
        <v>46114.81150462963</v>
      </c>
      <c r="Y25" t="s">
        <v>122</v>
      </c>
      <c r="Z25">
        <v>25</v>
      </c>
      <c r="AA25">
        <v>431</v>
      </c>
      <c r="AB25">
        <v>191.3</v>
      </c>
      <c r="AC25" s="52">
        <v>191.3</v>
      </c>
      <c r="AD25">
        <v>3</v>
      </c>
      <c r="AE25">
        <v>1</v>
      </c>
      <c r="AF25">
        <v>513</v>
      </c>
      <c r="AG25">
        <v>43.1</v>
      </c>
      <c r="AI25" t="s">
        <v>122</v>
      </c>
      <c r="AJ25">
        <v>25</v>
      </c>
      <c r="AL25">
        <v>191.3</v>
      </c>
      <c r="AM25">
        <v>191.3</v>
      </c>
      <c r="AN25">
        <v>3</v>
      </c>
      <c r="AO25">
        <v>1</v>
      </c>
      <c r="AP25">
        <f t="shared" si="3"/>
        <v>5.2982456140350873</v>
      </c>
      <c r="AQ25">
        <f t="shared" si="4"/>
        <v>22.461522041763338</v>
      </c>
      <c r="AV25" t="s">
        <v>343</v>
      </c>
    </row>
    <row r="26" spans="1:54" ht="15" thickBot="1">
      <c r="A26" s="1" t="s">
        <v>0</v>
      </c>
      <c r="B26" s="52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44">
        <v>1103.3267000000001</v>
      </c>
      <c r="N26" s="5">
        <v>-1</v>
      </c>
      <c r="O26" s="44">
        <v>425.26850000000002</v>
      </c>
      <c r="P26" s="5"/>
      <c r="Q26" s="3"/>
      <c r="R26" s="3">
        <v>1</v>
      </c>
      <c r="S26" s="3">
        <v>1860</v>
      </c>
      <c r="T26" s="3" t="s">
        <v>8</v>
      </c>
      <c r="U26" s="3"/>
      <c r="V26" s="3" t="s">
        <v>14</v>
      </c>
      <c r="W26" s="6">
        <v>46114.826597222222</v>
      </c>
      <c r="Y26" t="s">
        <v>123</v>
      </c>
      <c r="Z26">
        <v>25</v>
      </c>
      <c r="AA26">
        <v>482</v>
      </c>
      <c r="AB26">
        <v>189.4</v>
      </c>
      <c r="AC26" s="53">
        <v>191.3</v>
      </c>
      <c r="AD26">
        <v>3</v>
      </c>
      <c r="AE26">
        <v>3</v>
      </c>
      <c r="AF26">
        <v>1747</v>
      </c>
      <c r="AG26">
        <v>585.4</v>
      </c>
      <c r="AI26" t="s">
        <v>123</v>
      </c>
      <c r="AJ26">
        <v>25</v>
      </c>
      <c r="AL26">
        <v>189.4</v>
      </c>
      <c r="AM26">
        <v>191.3</v>
      </c>
      <c r="AN26">
        <v>3</v>
      </c>
      <c r="AO26">
        <v>3</v>
      </c>
      <c r="AP26">
        <f t="shared" si="3"/>
        <v>0.86891814539210077</v>
      </c>
      <c r="AQ26">
        <f t="shared" si="4"/>
        <v>1.2073993850358729</v>
      </c>
      <c r="AT26" s="6"/>
      <c r="AW26" s="71" t="s">
        <v>53</v>
      </c>
      <c r="AX26" s="72"/>
      <c r="AY26" s="72"/>
      <c r="AZ26" s="72"/>
      <c r="BA26" s="73"/>
    </row>
    <row r="27" spans="1:54">
      <c r="A27" s="1" t="s">
        <v>0</v>
      </c>
      <c r="B27" s="52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44">
        <v>3735.8645999999999</v>
      </c>
      <c r="N27" s="5">
        <v>467.17239999999998</v>
      </c>
      <c r="O27" s="44">
        <v>398.29469999999998</v>
      </c>
      <c r="P27" s="5">
        <v>-14.743499999999999</v>
      </c>
      <c r="Q27" s="3">
        <v>0</v>
      </c>
      <c r="R27" s="3">
        <v>5</v>
      </c>
      <c r="S27" s="3">
        <v>1952</v>
      </c>
      <c r="T27" s="3" t="s">
        <v>15</v>
      </c>
      <c r="U27" s="3"/>
      <c r="V27" s="3" t="s">
        <v>16</v>
      </c>
      <c r="W27" s="6">
        <v>46114.872164351851</v>
      </c>
      <c r="AV27" t="s">
        <v>54</v>
      </c>
      <c r="AW27" t="s">
        <v>55</v>
      </c>
      <c r="AX27" t="s">
        <v>56</v>
      </c>
      <c r="AY27" t="s">
        <v>57</v>
      </c>
      <c r="AZ27" t="s">
        <v>56</v>
      </c>
      <c r="BA27" t="s">
        <v>58</v>
      </c>
    </row>
    <row r="28" spans="1:54">
      <c r="A28" s="1" t="s">
        <v>0</v>
      </c>
      <c r="B28" s="52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44">
        <v>792.71079999999995</v>
      </c>
      <c r="N28" s="5">
        <v>442.62520000000001</v>
      </c>
      <c r="O28" s="44">
        <v>442.62520000000001</v>
      </c>
      <c r="P28" s="5">
        <v>0</v>
      </c>
      <c r="Q28" s="3">
        <v>1</v>
      </c>
      <c r="R28" s="3">
        <v>1</v>
      </c>
      <c r="S28" s="3">
        <v>2085</v>
      </c>
      <c r="T28" s="3" t="s">
        <v>17</v>
      </c>
      <c r="U28" s="3"/>
      <c r="V28" s="3" t="s">
        <v>18</v>
      </c>
      <c r="W28" s="6">
        <v>46114.882627314815</v>
      </c>
      <c r="Y28" t="s">
        <v>342</v>
      </c>
      <c r="AT28" s="6"/>
      <c r="AV28">
        <v>0</v>
      </c>
      <c r="AW28">
        <f t="shared" ref="AW28:AW33" si="5">IFERROR(_xlfn.MAXIFS($P$57:$P$76,$E$57:$E$76,AV28),"")</f>
        <v>0</v>
      </c>
      <c r="AX28" t="s">
        <v>59</v>
      </c>
      <c r="AY28">
        <f>IFERROR(_xlfn.MINIFS(tabela_dados!$P:$P,tabela_dados!$E:$E,AV28,tabela_dados!$P:$P,"&gt;=0"),"")</f>
        <v>0</v>
      </c>
      <c r="AZ28" t="s">
        <v>60</v>
      </c>
      <c r="BA28" t="str">
        <f t="shared" ref="BA28:BA33" si="6">IFERROR(AVERAGEIFS($O:$O,$E:$E,AV28,$O:$O,"&gt;=0"),"")</f>
        <v/>
      </c>
    </row>
    <row r="29" spans="1:54">
      <c r="A29" s="1" t="s">
        <v>0</v>
      </c>
      <c r="B29" s="52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44">
        <v>4107.8910999999998</v>
      </c>
      <c r="N29" s="5">
        <v>-1</v>
      </c>
      <c r="O29" s="44">
        <v>445.87220000000002</v>
      </c>
      <c r="P29" s="5"/>
      <c r="Q29" s="3"/>
      <c r="R29" s="3">
        <v>31</v>
      </c>
      <c r="S29" s="3">
        <v>2816</v>
      </c>
      <c r="T29" s="3" t="s">
        <v>8</v>
      </c>
      <c r="U29" s="3"/>
      <c r="V29" s="3" t="s">
        <v>19</v>
      </c>
      <c r="W29" s="6">
        <v>46114.932511574072</v>
      </c>
      <c r="AT29" s="6"/>
      <c r="AU29" t="s">
        <v>61</v>
      </c>
      <c r="AV29">
        <v>1</v>
      </c>
      <c r="AW29">
        <f t="shared" si="5"/>
        <v>0</v>
      </c>
      <c r="AX29" t="s">
        <v>59</v>
      </c>
      <c r="AY29">
        <f>IFERROR(_xlfn.MINIFS(tabela_dados!$P:$P,tabela_dados!$E:$E,AV29,tabela_dados!$P:$P,"&gt;=0"),"")</f>
        <v>0</v>
      </c>
      <c r="AZ29" t="s">
        <v>60</v>
      </c>
      <c r="BA29" t="str">
        <f t="shared" si="6"/>
        <v/>
      </c>
    </row>
    <row r="30" spans="1:54">
      <c r="A30" s="1" t="s">
        <v>0</v>
      </c>
      <c r="B30" s="52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44">
        <v>2720.2743999999998</v>
      </c>
      <c r="N30" s="5">
        <v>-1</v>
      </c>
      <c r="O30" s="44">
        <v>429.6968</v>
      </c>
      <c r="P30" s="5"/>
      <c r="Q30" s="3"/>
      <c r="R30" s="3">
        <v>25</v>
      </c>
      <c r="S30" s="3">
        <v>1960</v>
      </c>
      <c r="T30" s="3" t="s">
        <v>8</v>
      </c>
      <c r="U30" s="3"/>
      <c r="V30" s="3" t="s">
        <v>20</v>
      </c>
      <c r="W30" s="6">
        <v>46114.966319444444</v>
      </c>
      <c r="AT30" s="6"/>
      <c r="AU30" t="s">
        <v>62</v>
      </c>
      <c r="AV30">
        <v>2</v>
      </c>
      <c r="AW30">
        <f t="shared" si="5"/>
        <v>0</v>
      </c>
      <c r="AX30" t="s">
        <v>59</v>
      </c>
      <c r="AY30">
        <f>IFERROR(_xlfn.MINIFS(tabela_dados!$P:$P,tabela_dados!$E:$E,AV30,tabela_dados!$P:$P,"&gt;=0"),"")</f>
        <v>0</v>
      </c>
      <c r="AZ30" t="s">
        <v>60</v>
      </c>
      <c r="BA30" t="str">
        <f t="shared" si="6"/>
        <v/>
      </c>
    </row>
    <row r="31" spans="1:54" ht="15" thickBot="1">
      <c r="A31" s="1" t="s">
        <v>0</v>
      </c>
      <c r="B31" s="53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46">
        <v>3610.0805999999998</v>
      </c>
      <c r="N31" s="5">
        <v>394.10129999999998</v>
      </c>
      <c r="O31" s="46">
        <v>395.09089999999998</v>
      </c>
      <c r="P31" s="5">
        <v>0.25109999999999999</v>
      </c>
      <c r="Q31" s="3">
        <v>0</v>
      </c>
      <c r="R31" s="3">
        <v>61</v>
      </c>
      <c r="S31" s="3">
        <v>2044</v>
      </c>
      <c r="T31" s="3" t="s">
        <v>21</v>
      </c>
      <c r="U31" s="3"/>
      <c r="V31" s="3" t="s">
        <v>22</v>
      </c>
      <c r="W31" s="6">
        <v>46115.010428240741</v>
      </c>
      <c r="AT31" s="6"/>
      <c r="AU31" t="s">
        <v>63</v>
      </c>
      <c r="AV31">
        <v>3</v>
      </c>
      <c r="AW31">
        <f t="shared" si="5"/>
        <v>0</v>
      </c>
      <c r="AX31" t="s">
        <v>64</v>
      </c>
      <c r="AY31">
        <f>IFERROR(_xlfn.MINIFS(tabela_dados!$P:$P,tabela_dados!$E:$E,AV31,tabela_dados!$P:$P,"&gt;=0"),"")</f>
        <v>0</v>
      </c>
      <c r="AZ31" t="s">
        <v>60</v>
      </c>
      <c r="BA31" t="str">
        <f t="shared" si="6"/>
        <v/>
      </c>
    </row>
    <row r="32" spans="1:54">
      <c r="B32" t="s">
        <v>225</v>
      </c>
      <c r="Y32" s="74" t="s">
        <v>154</v>
      </c>
      <c r="Z32" s="74"/>
      <c r="AA32" s="74"/>
      <c r="AB32" s="74"/>
      <c r="AC32" s="74"/>
      <c r="AD32" s="74"/>
      <c r="AE32" s="74"/>
      <c r="AF32" s="74"/>
      <c r="AG32" s="74"/>
      <c r="AI32" s="74" t="s">
        <v>346</v>
      </c>
      <c r="AJ32" s="74"/>
      <c r="AK32" s="74"/>
      <c r="AL32" s="74"/>
      <c r="AM32" s="74"/>
      <c r="AN32" s="74"/>
      <c r="AO32" s="74"/>
      <c r="AP32" s="74"/>
      <c r="AQ32" s="74"/>
      <c r="AT32" s="6" t="s">
        <v>133</v>
      </c>
      <c r="AU32" t="s">
        <v>65</v>
      </c>
      <c r="AV32">
        <v>22</v>
      </c>
      <c r="AW32">
        <f t="shared" si="5"/>
        <v>0</v>
      </c>
      <c r="AX32" t="s">
        <v>66</v>
      </c>
      <c r="AY32">
        <f>IFERROR(_xlfn.MINIFS(tabela_dados!$P:$P,tabela_dados!$E:$E,AV32,tabela_dados!$P:$P,"&gt;=0"),"")</f>
        <v>0</v>
      </c>
      <c r="AZ32" t="s">
        <v>60</v>
      </c>
      <c r="BA32" t="str">
        <f t="shared" si="6"/>
        <v/>
      </c>
    </row>
    <row r="33" spans="1:53" ht="15" thickBot="1">
      <c r="B33" t="s">
        <v>226</v>
      </c>
      <c r="Y33" t="s">
        <v>94</v>
      </c>
      <c r="Z33" t="s">
        <v>95</v>
      </c>
      <c r="AA33" t="s">
        <v>96</v>
      </c>
      <c r="AB33" t="s">
        <v>97</v>
      </c>
      <c r="AC33" t="s">
        <v>98</v>
      </c>
      <c r="AD33" t="s">
        <v>99</v>
      </c>
      <c r="AE33" t="s">
        <v>100</v>
      </c>
      <c r="AF33" t="s">
        <v>101</v>
      </c>
      <c r="AG33" t="s">
        <v>102</v>
      </c>
      <c r="AI33" t="s">
        <v>94</v>
      </c>
      <c r="AJ33" t="s">
        <v>95</v>
      </c>
      <c r="AK33" t="s">
        <v>96</v>
      </c>
      <c r="AL33" t="s">
        <v>97</v>
      </c>
      <c r="AM33" t="s">
        <v>98</v>
      </c>
      <c r="AN33" t="s">
        <v>99</v>
      </c>
      <c r="AO33" t="s">
        <v>100</v>
      </c>
      <c r="AP33" t="s">
        <v>101</v>
      </c>
      <c r="AQ33" t="s">
        <v>102</v>
      </c>
      <c r="AT33" s="6"/>
      <c r="AU33" t="s">
        <v>67</v>
      </c>
      <c r="AV33">
        <v>10</v>
      </c>
      <c r="AW33">
        <f t="shared" si="5"/>
        <v>8.4077000000000002</v>
      </c>
      <c r="AX33" t="s">
        <v>68</v>
      </c>
      <c r="AY33">
        <f>IFERROR(_xlfn.MINIFS(tabela_dados!$P:$P,tabela_dados!$E:$E,AV33,tabela_dados!$P:$P,"&gt;=0"),"")</f>
        <v>0</v>
      </c>
      <c r="AZ33" t="s">
        <v>60</v>
      </c>
      <c r="BA33">
        <f t="shared" si="6"/>
        <v>291.01204181818184</v>
      </c>
    </row>
    <row r="34" spans="1:53">
      <c r="A34" s="14" t="s">
        <v>0</v>
      </c>
      <c r="B34" s="50" t="s">
        <v>60</v>
      </c>
      <c r="C34" s="14">
        <v>0</v>
      </c>
      <c r="D34" s="14">
        <v>0</v>
      </c>
      <c r="E34" s="14">
        <v>10</v>
      </c>
      <c r="F34" s="14">
        <v>25</v>
      </c>
      <c r="G34" s="14">
        <v>27</v>
      </c>
      <c r="H34" s="14">
        <v>8</v>
      </c>
      <c r="I34" s="14">
        <v>200</v>
      </c>
      <c r="J34" s="14">
        <v>0</v>
      </c>
      <c r="K34" s="14" t="s">
        <v>1</v>
      </c>
      <c r="L34" s="14">
        <v>0.73960000000000004</v>
      </c>
      <c r="M34" s="58">
        <v>25.3171</v>
      </c>
      <c r="N34" s="55" t="s">
        <v>156</v>
      </c>
      <c r="O34" s="47" t="s">
        <v>156</v>
      </c>
      <c r="P34" s="14">
        <v>0</v>
      </c>
      <c r="Q34" s="14">
        <v>1</v>
      </c>
      <c r="R34" s="17">
        <v>1</v>
      </c>
      <c r="S34" s="17">
        <v>1176</v>
      </c>
      <c r="T34" s="14" t="s">
        <v>2</v>
      </c>
      <c r="U34" s="14" t="s">
        <v>157</v>
      </c>
      <c r="V34" s="23">
        <v>46107.819814814815</v>
      </c>
      <c r="Y34" t="s">
        <v>103</v>
      </c>
      <c r="Z34">
        <v>25</v>
      </c>
      <c r="AA34">
        <v>227</v>
      </c>
      <c r="AB34">
        <v>617.1</v>
      </c>
      <c r="AC34">
        <v>617.1</v>
      </c>
      <c r="AD34">
        <v>8</v>
      </c>
      <c r="AE34">
        <v>1</v>
      </c>
      <c r="AF34">
        <v>78</v>
      </c>
      <c r="AG34">
        <v>5.8</v>
      </c>
      <c r="AI34" t="s">
        <v>103</v>
      </c>
      <c r="AJ34">
        <v>25</v>
      </c>
      <c r="AL34">
        <v>191.3</v>
      </c>
      <c r="AM34">
        <f>(O34-AC34)/AC34</f>
        <v>1.993031923513093E-3</v>
      </c>
      <c r="AN34">
        <v>3</v>
      </c>
      <c r="AO34">
        <v>1</v>
      </c>
      <c r="AP34">
        <f>S34/AF34</f>
        <v>15.076923076923077</v>
      </c>
      <c r="AQ34">
        <f>M34/AG34</f>
        <v>4.3650172413793102</v>
      </c>
      <c r="AT34" s="6"/>
    </row>
    <row r="35" spans="1:53" ht="15" thickBot="1">
      <c r="A35" t="s">
        <v>0</v>
      </c>
      <c r="B35" s="52" t="s">
        <v>66</v>
      </c>
      <c r="C35">
        <v>0</v>
      </c>
      <c r="D35">
        <v>0</v>
      </c>
      <c r="E35">
        <v>10</v>
      </c>
      <c r="F35">
        <v>25</v>
      </c>
      <c r="G35">
        <v>27</v>
      </c>
      <c r="H35">
        <v>7</v>
      </c>
      <c r="I35">
        <v>200</v>
      </c>
      <c r="J35">
        <v>0</v>
      </c>
      <c r="K35" t="s">
        <v>1</v>
      </c>
      <c r="L35">
        <v>1200.9863</v>
      </c>
      <c r="M35" s="59">
        <v>1620.0409</v>
      </c>
      <c r="N35" s="55" t="s">
        <v>158</v>
      </c>
      <c r="O35" s="48" t="s">
        <v>158</v>
      </c>
      <c r="P35">
        <v>0</v>
      </c>
      <c r="Q35">
        <v>1</v>
      </c>
      <c r="R35" s="17">
        <v>2585</v>
      </c>
      <c r="S35" s="17">
        <v>2170</v>
      </c>
      <c r="T35" t="s">
        <v>4</v>
      </c>
      <c r="U35" t="s">
        <v>159</v>
      </c>
      <c r="V35" s="2">
        <v>46107.852465277778</v>
      </c>
      <c r="Y35" t="s">
        <v>104</v>
      </c>
      <c r="Z35">
        <v>25</v>
      </c>
      <c r="AA35">
        <v>404</v>
      </c>
      <c r="AB35">
        <v>546.4</v>
      </c>
      <c r="AC35">
        <v>547.1</v>
      </c>
      <c r="AD35">
        <v>7</v>
      </c>
      <c r="AE35">
        <v>3</v>
      </c>
      <c r="AF35">
        <v>165</v>
      </c>
      <c r="AG35">
        <v>20.3</v>
      </c>
      <c r="AI35" t="s">
        <v>104</v>
      </c>
      <c r="AJ35">
        <v>25</v>
      </c>
      <c r="AL35">
        <v>190.3</v>
      </c>
      <c r="AM35">
        <f t="shared" ref="AM35:AM45" si="7">(O35-AC35)/AC35</f>
        <v>1.8420764028513519E-3</v>
      </c>
      <c r="AN35">
        <v>3</v>
      </c>
      <c r="AO35">
        <v>1</v>
      </c>
      <c r="AP35">
        <f t="shared" ref="AP35:AP45" si="8">S35/AF35</f>
        <v>13.151515151515152</v>
      </c>
      <c r="AQ35">
        <f t="shared" ref="AQ35:AQ45" si="9">M35/AG35</f>
        <v>79.804970443349745</v>
      </c>
      <c r="AT35" s="6"/>
    </row>
    <row r="36" spans="1:53" ht="15" thickBot="1">
      <c r="A36" t="s">
        <v>0</v>
      </c>
      <c r="B36" s="52" t="s">
        <v>72</v>
      </c>
      <c r="C36">
        <v>0</v>
      </c>
      <c r="D36">
        <v>0</v>
      </c>
      <c r="E36">
        <v>10</v>
      </c>
      <c r="F36">
        <v>25</v>
      </c>
      <c r="G36">
        <v>27</v>
      </c>
      <c r="H36">
        <v>5</v>
      </c>
      <c r="I36">
        <v>200</v>
      </c>
      <c r="J36">
        <v>0</v>
      </c>
      <c r="K36" t="s">
        <v>1</v>
      </c>
      <c r="L36">
        <v>1201.1936000000001</v>
      </c>
      <c r="M36" s="59">
        <v>185.24809999999999</v>
      </c>
      <c r="N36" s="55" t="s">
        <v>160</v>
      </c>
      <c r="O36" s="48" t="s">
        <v>161</v>
      </c>
      <c r="P36">
        <v>-2.6800999999999999</v>
      </c>
      <c r="Q36">
        <v>0</v>
      </c>
      <c r="R36" s="17">
        <v>1</v>
      </c>
      <c r="S36" s="17">
        <v>1525</v>
      </c>
      <c r="T36" t="s">
        <v>162</v>
      </c>
      <c r="U36" t="s">
        <v>163</v>
      </c>
      <c r="V36" s="2">
        <v>46107.868506944447</v>
      </c>
      <c r="Y36" t="s">
        <v>105</v>
      </c>
      <c r="Z36">
        <v>25</v>
      </c>
      <c r="AA36">
        <v>510</v>
      </c>
      <c r="AB36">
        <v>454.6</v>
      </c>
      <c r="AC36">
        <v>454.6</v>
      </c>
      <c r="AD36">
        <v>5</v>
      </c>
      <c r="AE36">
        <v>1</v>
      </c>
      <c r="AF36">
        <v>246</v>
      </c>
      <c r="AG36">
        <v>22.2</v>
      </c>
      <c r="AI36" t="s">
        <v>105</v>
      </c>
      <c r="AJ36">
        <v>25</v>
      </c>
      <c r="AL36">
        <v>190.3</v>
      </c>
      <c r="AM36">
        <f t="shared" si="7"/>
        <v>2.4157501099867202E-3</v>
      </c>
      <c r="AN36">
        <v>3</v>
      </c>
      <c r="AO36">
        <v>1</v>
      </c>
      <c r="AP36">
        <f t="shared" si="8"/>
        <v>6.1991869918699187</v>
      </c>
      <c r="AQ36">
        <f t="shared" si="9"/>
        <v>8.344509009009009</v>
      </c>
      <c r="AT36" s="6"/>
      <c r="AW36" s="71" t="s">
        <v>69</v>
      </c>
      <c r="AX36" s="72"/>
      <c r="AY36" s="72"/>
      <c r="AZ36" s="72"/>
      <c r="BA36" s="73"/>
    </row>
    <row r="37" spans="1:53">
      <c r="A37" t="s">
        <v>0</v>
      </c>
      <c r="B37" s="52" t="s">
        <v>73</v>
      </c>
      <c r="C37">
        <v>0</v>
      </c>
      <c r="D37">
        <v>0</v>
      </c>
      <c r="E37">
        <v>10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1201.6167</v>
      </c>
      <c r="M37" s="59">
        <v>162.71610000000001</v>
      </c>
      <c r="N37" s="55" t="s">
        <v>164</v>
      </c>
      <c r="O37" s="48" t="s">
        <v>165</v>
      </c>
      <c r="P37">
        <v>-7.8745000000000003</v>
      </c>
      <c r="Q37">
        <v>0</v>
      </c>
      <c r="R37" s="17">
        <v>3</v>
      </c>
      <c r="S37" s="17">
        <v>1732</v>
      </c>
      <c r="T37" t="s">
        <v>166</v>
      </c>
      <c r="U37" t="s">
        <v>167</v>
      </c>
      <c r="V37" s="2">
        <v>46107.884293981479</v>
      </c>
      <c r="Y37" t="s">
        <v>106</v>
      </c>
      <c r="Z37">
        <v>25</v>
      </c>
      <c r="AA37">
        <v>559</v>
      </c>
      <c r="AB37">
        <v>416.9</v>
      </c>
      <c r="AC37">
        <v>416.9</v>
      </c>
      <c r="AD37">
        <v>4</v>
      </c>
      <c r="AE37">
        <v>1</v>
      </c>
      <c r="AF37">
        <v>419</v>
      </c>
      <c r="AG37">
        <v>46</v>
      </c>
      <c r="AI37" t="s">
        <v>106</v>
      </c>
      <c r="AJ37">
        <v>25</v>
      </c>
      <c r="AL37">
        <v>186.9</v>
      </c>
      <c r="AM37">
        <f t="shared" si="7"/>
        <v>2.5454545454546467E-3</v>
      </c>
      <c r="AN37">
        <v>3</v>
      </c>
      <c r="AO37">
        <v>1</v>
      </c>
      <c r="AP37">
        <f t="shared" si="8"/>
        <v>4.1336515513126493</v>
      </c>
      <c r="AQ37">
        <f t="shared" si="9"/>
        <v>3.5373065217391306</v>
      </c>
      <c r="AT37" s="6"/>
      <c r="AV37" t="s">
        <v>54</v>
      </c>
      <c r="AW37" t="s">
        <v>55</v>
      </c>
      <c r="AX37" t="s">
        <v>56</v>
      </c>
      <c r="AY37" t="s">
        <v>57</v>
      </c>
      <c r="AZ37" t="s">
        <v>56</v>
      </c>
      <c r="BA37" t="s">
        <v>58</v>
      </c>
    </row>
    <row r="38" spans="1:53">
      <c r="A38" t="s">
        <v>0</v>
      </c>
      <c r="B38" s="52" t="s">
        <v>74</v>
      </c>
      <c r="C38">
        <v>0</v>
      </c>
      <c r="D38">
        <v>0</v>
      </c>
      <c r="E38">
        <v>10</v>
      </c>
      <c r="F38">
        <v>25</v>
      </c>
      <c r="G38">
        <v>27</v>
      </c>
      <c r="H38">
        <v>6</v>
      </c>
      <c r="I38">
        <v>200</v>
      </c>
      <c r="J38">
        <v>0</v>
      </c>
      <c r="K38" t="s">
        <v>1</v>
      </c>
      <c r="L38">
        <v>17.6753</v>
      </c>
      <c r="M38" s="59">
        <v>45.564900000000002</v>
      </c>
      <c r="N38" s="55" t="s">
        <v>168</v>
      </c>
      <c r="O38" s="48" t="s">
        <v>168</v>
      </c>
      <c r="P38">
        <v>0</v>
      </c>
      <c r="Q38">
        <v>1</v>
      </c>
      <c r="R38" s="17">
        <v>1</v>
      </c>
      <c r="S38" s="17">
        <v>1242</v>
      </c>
      <c r="T38" t="s">
        <v>10</v>
      </c>
      <c r="U38" t="s">
        <v>169</v>
      </c>
      <c r="V38" s="2">
        <v>46107.885034722225</v>
      </c>
      <c r="Y38" t="s">
        <v>107</v>
      </c>
      <c r="Z38">
        <v>25</v>
      </c>
      <c r="AA38">
        <v>303</v>
      </c>
      <c r="AB38">
        <v>526</v>
      </c>
      <c r="AC38">
        <v>530.5</v>
      </c>
      <c r="AD38">
        <v>6</v>
      </c>
      <c r="AE38">
        <v>7</v>
      </c>
      <c r="AF38">
        <v>554</v>
      </c>
      <c r="AG38">
        <v>22.6</v>
      </c>
      <c r="AI38" t="s">
        <v>107</v>
      </c>
      <c r="AJ38">
        <v>25</v>
      </c>
      <c r="AL38">
        <v>191.3</v>
      </c>
      <c r="AM38">
        <f t="shared" si="7"/>
        <v>1.9577756833175758E-3</v>
      </c>
      <c r="AN38">
        <v>3</v>
      </c>
      <c r="AO38">
        <v>1</v>
      </c>
      <c r="AP38">
        <f t="shared" si="8"/>
        <v>2.2418772563176894</v>
      </c>
      <c r="AQ38">
        <f t="shared" si="9"/>
        <v>2.0161460176991151</v>
      </c>
      <c r="AT38" s="6"/>
      <c r="AV38">
        <v>0</v>
      </c>
      <c r="AW38">
        <v>3999.3000999999999</v>
      </c>
      <c r="AX38" t="s">
        <v>59</v>
      </c>
      <c r="AY38">
        <v>67.948899999999995</v>
      </c>
      <c r="BA38">
        <v>1577.3655799999999</v>
      </c>
    </row>
    <row r="39" spans="1:53">
      <c r="A39" t="s">
        <v>0</v>
      </c>
      <c r="B39" s="52" t="s">
        <v>75</v>
      </c>
      <c r="C39">
        <v>0</v>
      </c>
      <c r="D39">
        <v>0</v>
      </c>
      <c r="E39">
        <v>10</v>
      </c>
      <c r="F39">
        <v>25</v>
      </c>
      <c r="G39">
        <v>27</v>
      </c>
      <c r="H39">
        <v>5</v>
      </c>
      <c r="I39">
        <v>200</v>
      </c>
      <c r="J39">
        <v>0</v>
      </c>
      <c r="K39" t="s">
        <v>1</v>
      </c>
      <c r="L39">
        <v>1096.8556000000001</v>
      </c>
      <c r="M39" s="59">
        <v>896.23320000000001</v>
      </c>
      <c r="N39" s="55" t="s">
        <v>170</v>
      </c>
      <c r="O39" s="48" t="s">
        <v>170</v>
      </c>
      <c r="P39">
        <v>0</v>
      </c>
      <c r="Q39">
        <v>1</v>
      </c>
      <c r="R39" s="17">
        <v>135</v>
      </c>
      <c r="S39" s="17">
        <v>2515</v>
      </c>
      <c r="T39" t="s">
        <v>12</v>
      </c>
      <c r="U39" t="s">
        <v>171</v>
      </c>
      <c r="V39" s="2">
        <v>46107.908101851855</v>
      </c>
      <c r="Y39" t="s">
        <v>108</v>
      </c>
      <c r="Z39">
        <v>25</v>
      </c>
      <c r="AA39">
        <v>458</v>
      </c>
      <c r="AB39">
        <v>457.3</v>
      </c>
      <c r="AC39">
        <v>467.4</v>
      </c>
      <c r="AD39">
        <v>5</v>
      </c>
      <c r="AE39">
        <v>15</v>
      </c>
      <c r="AF39">
        <v>2451</v>
      </c>
      <c r="AG39">
        <v>205.2</v>
      </c>
      <c r="AI39" t="s">
        <v>108</v>
      </c>
      <c r="AJ39">
        <v>25</v>
      </c>
      <c r="AL39">
        <v>191.3</v>
      </c>
      <c r="AM39">
        <f t="shared" si="7"/>
        <v>-1.9679075738124785E-3</v>
      </c>
      <c r="AN39">
        <v>3</v>
      </c>
      <c r="AO39">
        <v>1</v>
      </c>
      <c r="AP39">
        <f t="shared" si="8"/>
        <v>1.0261117911056712</v>
      </c>
      <c r="AQ39">
        <f t="shared" si="9"/>
        <v>4.3676081871345032</v>
      </c>
      <c r="AT39" s="6"/>
      <c r="AV39">
        <v>1</v>
      </c>
      <c r="AW39">
        <v>3786.1477</v>
      </c>
      <c r="AX39" t="s">
        <v>70</v>
      </c>
      <c r="AY39">
        <v>20.212499999999999</v>
      </c>
      <c r="BA39">
        <v>1251.4237000000001</v>
      </c>
    </row>
    <row r="40" spans="1:53">
      <c r="A40" t="s">
        <v>0</v>
      </c>
      <c r="B40" s="52" t="s">
        <v>76</v>
      </c>
      <c r="C40">
        <v>0</v>
      </c>
      <c r="D40">
        <v>0</v>
      </c>
      <c r="E40">
        <v>10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1201.4686999999999</v>
      </c>
      <c r="M40" s="59">
        <v>191.86699999999999</v>
      </c>
      <c r="N40" s="55" t="s">
        <v>172</v>
      </c>
      <c r="O40" s="48" t="s">
        <v>173</v>
      </c>
      <c r="P40">
        <v>-0.91610000000000003</v>
      </c>
      <c r="Q40">
        <v>0</v>
      </c>
      <c r="R40" s="17">
        <v>1</v>
      </c>
      <c r="S40" s="17">
        <v>1816</v>
      </c>
      <c r="T40" t="s">
        <v>174</v>
      </c>
      <c r="U40" t="s">
        <v>175</v>
      </c>
      <c r="V40" s="2">
        <v>46107.924224537041</v>
      </c>
      <c r="Y40" t="s">
        <v>109</v>
      </c>
      <c r="Z40">
        <v>25</v>
      </c>
      <c r="AA40">
        <v>542</v>
      </c>
      <c r="AB40">
        <v>423</v>
      </c>
      <c r="AC40">
        <v>424.3</v>
      </c>
      <c r="AD40">
        <v>4</v>
      </c>
      <c r="AE40">
        <v>21</v>
      </c>
      <c r="AF40">
        <v>3191</v>
      </c>
      <c r="AG40">
        <v>304.10000000000002</v>
      </c>
      <c r="AI40" t="s">
        <v>109</v>
      </c>
      <c r="AJ40">
        <v>25</v>
      </c>
      <c r="AL40">
        <v>191.3</v>
      </c>
      <c r="AM40">
        <f t="shared" si="7"/>
        <v>2.2825830780108551E-3</v>
      </c>
      <c r="AN40">
        <v>3</v>
      </c>
      <c r="AO40">
        <v>1</v>
      </c>
      <c r="AP40">
        <f t="shared" si="8"/>
        <v>0.56910059542463176</v>
      </c>
      <c r="AQ40">
        <f t="shared" si="9"/>
        <v>0.63093390332127586</v>
      </c>
      <c r="AT40" s="6"/>
      <c r="AV40">
        <v>2</v>
      </c>
      <c r="AW40">
        <v>4212.7161999999998</v>
      </c>
      <c r="AX40" t="s">
        <v>70</v>
      </c>
      <c r="AY40">
        <v>23.310600000000001</v>
      </c>
      <c r="BA40">
        <v>1214.44336</v>
      </c>
    </row>
    <row r="41" spans="1:53">
      <c r="A41" t="s">
        <v>0</v>
      </c>
      <c r="B41" s="52" t="s">
        <v>77</v>
      </c>
      <c r="C41">
        <v>0</v>
      </c>
      <c r="D41">
        <v>0</v>
      </c>
      <c r="E41">
        <v>10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1201.4431999999999</v>
      </c>
      <c r="M41" s="59">
        <v>545.2921</v>
      </c>
      <c r="N41" s="55" t="s">
        <v>176</v>
      </c>
      <c r="O41" s="48" t="s">
        <v>176</v>
      </c>
      <c r="P41">
        <v>0</v>
      </c>
      <c r="Q41">
        <v>1</v>
      </c>
      <c r="R41" s="17">
        <v>25</v>
      </c>
      <c r="S41" s="17">
        <v>1920</v>
      </c>
      <c r="T41" t="s">
        <v>177</v>
      </c>
      <c r="U41" t="s">
        <v>178</v>
      </c>
      <c r="V41" s="2">
        <v>46107.944444444445</v>
      </c>
      <c r="Y41" t="s">
        <v>110</v>
      </c>
      <c r="Z41">
        <v>25</v>
      </c>
      <c r="AA41">
        <v>586</v>
      </c>
      <c r="AB41">
        <v>396.2</v>
      </c>
      <c r="AC41">
        <v>397.2</v>
      </c>
      <c r="AD41">
        <v>4</v>
      </c>
      <c r="AE41">
        <v>3</v>
      </c>
      <c r="AF41">
        <v>1041</v>
      </c>
      <c r="AG41">
        <v>307.39999999999998</v>
      </c>
      <c r="AI41" t="s">
        <v>110</v>
      </c>
      <c r="AJ41">
        <v>25</v>
      </c>
      <c r="AL41">
        <v>191.3</v>
      </c>
      <c r="AM41">
        <f t="shared" si="7"/>
        <v>2.7560422960724797E-3</v>
      </c>
      <c r="AN41">
        <v>3</v>
      </c>
      <c r="AO41">
        <v>1</v>
      </c>
      <c r="AP41">
        <f t="shared" si="8"/>
        <v>1.8443804034582132</v>
      </c>
      <c r="AQ41">
        <f t="shared" si="9"/>
        <v>1.7738845152895253</v>
      </c>
      <c r="AT41" s="6"/>
      <c r="AV41">
        <v>3</v>
      </c>
      <c r="AW41">
        <v>3633.8024999999998</v>
      </c>
      <c r="AX41" t="s">
        <v>59</v>
      </c>
      <c r="AY41">
        <v>2.2683</v>
      </c>
      <c r="BA41">
        <v>814.73283330000004</v>
      </c>
    </row>
    <row r="42" spans="1:53">
      <c r="A42" t="s">
        <v>0</v>
      </c>
      <c r="B42" s="52" t="s">
        <v>78</v>
      </c>
      <c r="C42">
        <v>0</v>
      </c>
      <c r="D42">
        <v>0</v>
      </c>
      <c r="E42">
        <v>10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69.622900000000001</v>
      </c>
      <c r="M42" s="59">
        <v>64.655000000000001</v>
      </c>
      <c r="N42" s="55" t="s">
        <v>179</v>
      </c>
      <c r="O42" s="48" t="s">
        <v>179</v>
      </c>
      <c r="P42">
        <v>0</v>
      </c>
      <c r="Q42">
        <v>1</v>
      </c>
      <c r="R42" s="17">
        <v>1</v>
      </c>
      <c r="S42" s="17">
        <v>1730</v>
      </c>
      <c r="T42" t="s">
        <v>17</v>
      </c>
      <c r="U42" t="s">
        <v>180</v>
      </c>
      <c r="V42" s="2">
        <v>46107.94599537037</v>
      </c>
      <c r="Y42" t="s">
        <v>111</v>
      </c>
      <c r="Z42">
        <v>25</v>
      </c>
      <c r="AA42">
        <v>411</v>
      </c>
      <c r="AB42">
        <v>441.3</v>
      </c>
      <c r="AC42">
        <v>441.3</v>
      </c>
      <c r="AD42">
        <v>5</v>
      </c>
      <c r="AE42">
        <v>1</v>
      </c>
      <c r="AF42">
        <v>207</v>
      </c>
      <c r="AG42">
        <v>14.4</v>
      </c>
      <c r="AI42" t="s">
        <v>111</v>
      </c>
      <c r="AJ42">
        <v>25</v>
      </c>
      <c r="AL42">
        <v>189.4</v>
      </c>
      <c r="AM42">
        <f t="shared" si="7"/>
        <v>3.0029458418309434E-3</v>
      </c>
      <c r="AN42">
        <v>3</v>
      </c>
      <c r="AO42">
        <v>3</v>
      </c>
      <c r="AP42">
        <f t="shared" si="8"/>
        <v>8.3574879227053138</v>
      </c>
      <c r="AQ42">
        <f t="shared" si="9"/>
        <v>4.4899305555555555</v>
      </c>
      <c r="AT42" s="6"/>
      <c r="AV42">
        <v>22</v>
      </c>
      <c r="AW42">
        <v>4554.6504999999997</v>
      </c>
      <c r="AX42" t="s">
        <v>70</v>
      </c>
      <c r="AY42">
        <v>99.904700000000005</v>
      </c>
      <c r="BA42">
        <v>2195.5316069999999</v>
      </c>
    </row>
    <row r="43" spans="1:53">
      <c r="A43" t="s">
        <v>0</v>
      </c>
      <c r="B43" s="52" t="s">
        <v>79</v>
      </c>
      <c r="C43">
        <v>0</v>
      </c>
      <c r="D43">
        <v>0</v>
      </c>
      <c r="E43">
        <v>10</v>
      </c>
      <c r="F43">
        <v>25</v>
      </c>
      <c r="G43">
        <v>27</v>
      </c>
      <c r="H43">
        <v>4</v>
      </c>
      <c r="I43">
        <v>200</v>
      </c>
      <c r="J43">
        <v>0</v>
      </c>
      <c r="K43" t="s">
        <v>1</v>
      </c>
      <c r="L43">
        <v>1201.7543000000001</v>
      </c>
      <c r="M43" s="59">
        <v>1085.3520000000001</v>
      </c>
      <c r="N43" s="55" t="s">
        <v>181</v>
      </c>
      <c r="O43" s="48" t="s">
        <v>182</v>
      </c>
      <c r="R43" s="17">
        <v>91</v>
      </c>
      <c r="S43" s="17">
        <v>2664</v>
      </c>
      <c r="T43" t="s">
        <v>8</v>
      </c>
      <c r="U43" t="s">
        <v>183</v>
      </c>
      <c r="V43" s="2">
        <v>46107.97246527778</v>
      </c>
      <c r="Y43" t="s">
        <v>112</v>
      </c>
      <c r="Z43">
        <v>25</v>
      </c>
      <c r="AA43">
        <v>530</v>
      </c>
      <c r="AB43">
        <v>425.4</v>
      </c>
      <c r="AC43">
        <v>429.5</v>
      </c>
      <c r="AD43">
        <v>4</v>
      </c>
      <c r="AE43">
        <v>5</v>
      </c>
      <c r="AF43">
        <v>655</v>
      </c>
      <c r="AG43">
        <v>64.3</v>
      </c>
      <c r="AI43" t="s">
        <v>112</v>
      </c>
      <c r="AJ43">
        <v>25</v>
      </c>
      <c r="AM43">
        <f t="shared" si="7"/>
        <v>3.8119208381839395E-2</v>
      </c>
      <c r="AP43">
        <f t="shared" si="8"/>
        <v>4.0671755725190843</v>
      </c>
      <c r="AQ43">
        <f t="shared" si="9"/>
        <v>16.879502332814933</v>
      </c>
      <c r="AT43" s="6"/>
      <c r="AV43">
        <v>10</v>
      </c>
      <c r="AW43">
        <v>3346.43</v>
      </c>
      <c r="AX43" t="s">
        <v>71</v>
      </c>
      <c r="AY43">
        <v>25.3171</v>
      </c>
      <c r="BA43">
        <v>545.35545709999997</v>
      </c>
    </row>
    <row r="44" spans="1:53">
      <c r="A44" t="s">
        <v>0</v>
      </c>
      <c r="B44" s="52" t="s">
        <v>80</v>
      </c>
      <c r="C44">
        <v>0</v>
      </c>
      <c r="D44">
        <v>0</v>
      </c>
      <c r="E44">
        <v>10</v>
      </c>
      <c r="F44">
        <v>25</v>
      </c>
      <c r="G44">
        <v>27</v>
      </c>
      <c r="H44">
        <v>4</v>
      </c>
      <c r="I44">
        <v>200</v>
      </c>
      <c r="J44">
        <v>0</v>
      </c>
      <c r="K44" t="s">
        <v>1</v>
      </c>
      <c r="L44">
        <v>1201.4562000000001</v>
      </c>
      <c r="M44" s="59">
        <v>313.93610000000001</v>
      </c>
      <c r="N44" s="55" t="s">
        <v>184</v>
      </c>
      <c r="O44" s="48" t="s">
        <v>185</v>
      </c>
      <c r="P44">
        <v>-2.5415000000000001</v>
      </c>
      <c r="Q44">
        <v>0</v>
      </c>
      <c r="R44" s="17">
        <v>29</v>
      </c>
      <c r="S44" s="17">
        <v>1988</v>
      </c>
      <c r="T44" t="s">
        <v>186</v>
      </c>
      <c r="U44" t="s">
        <v>187</v>
      </c>
      <c r="V44" s="2">
        <v>46107.990011574075</v>
      </c>
      <c r="Y44" t="s">
        <v>113</v>
      </c>
      <c r="Z44">
        <v>25</v>
      </c>
      <c r="AA44">
        <v>526</v>
      </c>
      <c r="AB44">
        <v>423.5</v>
      </c>
      <c r="AC44">
        <v>428.8</v>
      </c>
      <c r="AD44">
        <v>4</v>
      </c>
      <c r="AE44">
        <v>15</v>
      </c>
      <c r="AF44">
        <v>2794</v>
      </c>
      <c r="AG44">
        <v>330</v>
      </c>
      <c r="AI44" t="s">
        <v>113</v>
      </c>
      <c r="AJ44">
        <v>25</v>
      </c>
      <c r="AM44">
        <f t="shared" si="7"/>
        <v>2.0914179104477254E-3</v>
      </c>
      <c r="AP44">
        <f t="shared" si="8"/>
        <v>0.71152469577666433</v>
      </c>
      <c r="AQ44">
        <f t="shared" si="9"/>
        <v>0.9513215151515152</v>
      </c>
    </row>
    <row r="45" spans="1:53" ht="15" thickBot="1">
      <c r="A45" t="s">
        <v>0</v>
      </c>
      <c r="B45" s="53" t="s">
        <v>71</v>
      </c>
      <c r="C45">
        <v>0</v>
      </c>
      <c r="D45">
        <v>0</v>
      </c>
      <c r="E45">
        <v>10</v>
      </c>
      <c r="F45">
        <v>25</v>
      </c>
      <c r="G45">
        <v>27</v>
      </c>
      <c r="H45">
        <v>4</v>
      </c>
      <c r="I45">
        <v>200</v>
      </c>
      <c r="J45">
        <v>0</v>
      </c>
      <c r="K45" t="s">
        <v>1</v>
      </c>
      <c r="L45">
        <v>1201.4874</v>
      </c>
      <c r="M45" s="60">
        <v>3346.43</v>
      </c>
      <c r="N45" s="56" t="s">
        <v>188</v>
      </c>
      <c r="O45" s="49" t="s">
        <v>189</v>
      </c>
      <c r="P45">
        <v>0.73140000000000005</v>
      </c>
      <c r="Q45">
        <v>0</v>
      </c>
      <c r="R45" s="25">
        <v>559</v>
      </c>
      <c r="S45" s="25">
        <v>3936</v>
      </c>
      <c r="T45" t="s">
        <v>21</v>
      </c>
      <c r="U45" t="s">
        <v>190</v>
      </c>
      <c r="V45" s="2">
        <v>46108.042650462965</v>
      </c>
      <c r="Y45" t="s">
        <v>114</v>
      </c>
      <c r="Z45">
        <v>25</v>
      </c>
      <c r="AA45">
        <v>647</v>
      </c>
      <c r="AB45">
        <v>383.9</v>
      </c>
      <c r="AC45">
        <v>393</v>
      </c>
      <c r="AD45">
        <v>4</v>
      </c>
      <c r="AE45">
        <v>21</v>
      </c>
      <c r="AF45">
        <v>2643</v>
      </c>
      <c r="AG45">
        <v>623.29999999999995</v>
      </c>
      <c r="AI45" t="s">
        <v>114</v>
      </c>
      <c r="AJ45">
        <v>25</v>
      </c>
      <c r="AM45">
        <f t="shared" si="7"/>
        <v>1.0136895674300189E-2</v>
      </c>
      <c r="AP45">
        <f t="shared" si="8"/>
        <v>1.4892167990919409</v>
      </c>
      <c r="AQ45">
        <f t="shared" si="9"/>
        <v>5.3688913845660196</v>
      </c>
    </row>
    <row r="46" spans="1:53">
      <c r="A46" s="14" t="s">
        <v>0</v>
      </c>
      <c r="B46" s="54" t="s">
        <v>64</v>
      </c>
      <c r="C46" s="14">
        <v>0</v>
      </c>
      <c r="D46" s="14">
        <v>0</v>
      </c>
      <c r="E46" s="14">
        <v>10</v>
      </c>
      <c r="F46" s="14">
        <v>25</v>
      </c>
      <c r="G46" s="14">
        <v>27</v>
      </c>
      <c r="H46" s="14">
        <v>3</v>
      </c>
      <c r="I46" s="14">
        <v>200</v>
      </c>
      <c r="J46" s="14">
        <v>0</v>
      </c>
      <c r="K46" s="14" t="s">
        <v>1</v>
      </c>
      <c r="L46" s="14">
        <v>3.8125</v>
      </c>
      <c r="M46" s="57">
        <v>3605.2732999999998</v>
      </c>
      <c r="N46" s="16" t="s">
        <v>191</v>
      </c>
      <c r="O46" s="42" t="s">
        <v>192</v>
      </c>
      <c r="P46" s="14">
        <v>3.7848999999999999</v>
      </c>
      <c r="Q46" s="14">
        <v>0</v>
      </c>
      <c r="R46" s="17">
        <v>212</v>
      </c>
      <c r="S46" s="17">
        <v>5661</v>
      </c>
      <c r="T46" s="14" t="s">
        <v>23</v>
      </c>
      <c r="U46" s="14" t="s">
        <v>193</v>
      </c>
      <c r="V46" s="23">
        <v>46108.084421296298</v>
      </c>
    </row>
    <row r="47" spans="1:53" s="26" customFormat="1">
      <c r="A47" s="26" t="s">
        <v>0</v>
      </c>
      <c r="B47" s="26" t="s">
        <v>59</v>
      </c>
      <c r="C47" s="26">
        <v>0</v>
      </c>
      <c r="D47" s="26">
        <v>0</v>
      </c>
      <c r="E47" s="26">
        <v>10</v>
      </c>
      <c r="F47" s="26">
        <v>25</v>
      </c>
      <c r="G47" s="26">
        <v>27</v>
      </c>
      <c r="H47" s="26">
        <v>3</v>
      </c>
      <c r="I47" s="26">
        <v>200</v>
      </c>
      <c r="J47" s="26">
        <v>0</v>
      </c>
      <c r="K47" s="26" t="s">
        <v>1</v>
      </c>
      <c r="L47" s="26">
        <v>1201.3277</v>
      </c>
      <c r="M47" s="27">
        <v>3647.1527000000001</v>
      </c>
      <c r="N47" s="27" t="s">
        <v>194</v>
      </c>
      <c r="O47" s="27" t="s">
        <v>195</v>
      </c>
      <c r="P47" s="26">
        <v>12.990600000000001</v>
      </c>
      <c r="Q47" s="26">
        <v>0</v>
      </c>
      <c r="R47" s="27">
        <v>165</v>
      </c>
      <c r="S47" s="27">
        <v>5613</v>
      </c>
      <c r="T47" s="26" t="s">
        <v>196</v>
      </c>
      <c r="U47" s="26" t="s">
        <v>197</v>
      </c>
      <c r="V47" s="28">
        <v>46108.140532407408</v>
      </c>
      <c r="Y47"/>
      <c r="Z47"/>
      <c r="AA47"/>
      <c r="AB47"/>
      <c r="AC47"/>
      <c r="AD47"/>
      <c r="AE47"/>
      <c r="AF47"/>
      <c r="AG47"/>
    </row>
    <row r="48" spans="1:53">
      <c r="A48" t="s">
        <v>0</v>
      </c>
      <c r="B48" t="s">
        <v>70</v>
      </c>
      <c r="C48">
        <v>0</v>
      </c>
      <c r="D48">
        <v>0</v>
      </c>
      <c r="E48">
        <v>10</v>
      </c>
      <c r="F48">
        <v>25</v>
      </c>
      <c r="G48">
        <v>27</v>
      </c>
      <c r="H48">
        <v>3</v>
      </c>
      <c r="I48">
        <v>200</v>
      </c>
      <c r="J48">
        <v>0</v>
      </c>
      <c r="K48" t="s">
        <v>1</v>
      </c>
      <c r="L48">
        <v>1202.2618</v>
      </c>
      <c r="M48" s="15">
        <v>3715.3123999999998</v>
      </c>
      <c r="N48" s="16" t="s">
        <v>191</v>
      </c>
      <c r="O48" s="16" t="s">
        <v>198</v>
      </c>
      <c r="P48">
        <v>3.2025999999999999</v>
      </c>
      <c r="Q48">
        <v>0</v>
      </c>
      <c r="R48" s="17">
        <v>40</v>
      </c>
      <c r="S48" s="17">
        <v>5499</v>
      </c>
      <c r="T48" t="s">
        <v>199</v>
      </c>
      <c r="U48" t="s">
        <v>200</v>
      </c>
      <c r="V48" s="2">
        <v>46108.197453703702</v>
      </c>
    </row>
    <row r="49" spans="1:43">
      <c r="A49" t="s">
        <v>0</v>
      </c>
      <c r="B49" t="s">
        <v>81</v>
      </c>
      <c r="C49">
        <v>0</v>
      </c>
      <c r="D49">
        <v>0</v>
      </c>
      <c r="E49">
        <v>10</v>
      </c>
      <c r="F49">
        <v>25</v>
      </c>
      <c r="G49">
        <v>27</v>
      </c>
      <c r="H49">
        <v>3</v>
      </c>
      <c r="I49">
        <v>200</v>
      </c>
      <c r="J49">
        <v>0</v>
      </c>
      <c r="K49" t="s">
        <v>1</v>
      </c>
      <c r="L49">
        <v>1202.3225</v>
      </c>
      <c r="M49" s="15">
        <v>3622.8786</v>
      </c>
      <c r="N49" s="16" t="s">
        <v>201</v>
      </c>
      <c r="O49" s="16" t="s">
        <v>202</v>
      </c>
      <c r="P49">
        <v>8.5396999999999998</v>
      </c>
      <c r="Q49">
        <v>0</v>
      </c>
      <c r="R49" s="17">
        <v>727</v>
      </c>
      <c r="S49" s="17">
        <v>6333</v>
      </c>
      <c r="T49" t="s">
        <v>203</v>
      </c>
      <c r="U49" t="s">
        <v>204</v>
      </c>
      <c r="V49" s="2">
        <v>46108.253298611111</v>
      </c>
    </row>
    <row r="50" spans="1:43">
      <c r="A50" t="s">
        <v>0</v>
      </c>
      <c r="B50" t="s">
        <v>82</v>
      </c>
      <c r="C50">
        <v>0</v>
      </c>
      <c r="D50">
        <v>0</v>
      </c>
      <c r="E50">
        <v>10</v>
      </c>
      <c r="F50">
        <v>25</v>
      </c>
      <c r="G50">
        <v>27</v>
      </c>
      <c r="H50">
        <v>3</v>
      </c>
      <c r="I50">
        <v>200</v>
      </c>
      <c r="J50">
        <v>0</v>
      </c>
      <c r="K50" t="s">
        <v>1</v>
      </c>
      <c r="L50">
        <v>326.66539999999998</v>
      </c>
      <c r="M50" s="15">
        <v>3600.2022000000002</v>
      </c>
      <c r="N50" s="16" t="s">
        <v>191</v>
      </c>
      <c r="O50" s="16" t="s">
        <v>205</v>
      </c>
      <c r="P50">
        <v>4.8151000000000002</v>
      </c>
      <c r="Q50">
        <v>0</v>
      </c>
      <c r="R50" s="17">
        <v>252</v>
      </c>
      <c r="S50" s="17">
        <v>4818</v>
      </c>
      <c r="T50" t="s">
        <v>83</v>
      </c>
      <c r="U50" t="s">
        <v>206</v>
      </c>
      <c r="V50" s="2">
        <v>46108.298750000002</v>
      </c>
    </row>
    <row r="51" spans="1:43">
      <c r="A51" t="s">
        <v>0</v>
      </c>
      <c r="B51" t="s">
        <v>85</v>
      </c>
      <c r="C51">
        <v>0</v>
      </c>
      <c r="D51">
        <v>0</v>
      </c>
      <c r="E51">
        <v>10</v>
      </c>
      <c r="F51">
        <v>25</v>
      </c>
      <c r="G51">
        <v>27</v>
      </c>
      <c r="H51">
        <v>3</v>
      </c>
      <c r="I51">
        <v>200</v>
      </c>
      <c r="J51">
        <v>0</v>
      </c>
      <c r="K51" t="s">
        <v>1</v>
      </c>
      <c r="L51">
        <v>1202.2047</v>
      </c>
      <c r="M51" s="15">
        <v>3616.8991000000001</v>
      </c>
      <c r="N51" s="16" t="s">
        <v>207</v>
      </c>
      <c r="O51" s="16" t="s">
        <v>208</v>
      </c>
      <c r="P51">
        <v>4.4718999999999998</v>
      </c>
      <c r="Q51">
        <v>0</v>
      </c>
      <c r="R51" s="17">
        <v>51</v>
      </c>
      <c r="S51" s="17">
        <v>1425</v>
      </c>
      <c r="T51" t="s">
        <v>86</v>
      </c>
      <c r="U51" t="s">
        <v>209</v>
      </c>
      <c r="V51" s="2">
        <v>46108.354525462964</v>
      </c>
      <c r="Y51" s="74" t="s">
        <v>154</v>
      </c>
      <c r="Z51" s="74"/>
      <c r="AA51" s="74"/>
      <c r="AB51" s="74"/>
      <c r="AC51" s="74"/>
      <c r="AD51" s="74"/>
      <c r="AE51" s="74"/>
      <c r="AF51" s="74"/>
      <c r="AG51" s="74"/>
      <c r="AI51" s="74" t="s">
        <v>347</v>
      </c>
      <c r="AJ51" s="74"/>
      <c r="AK51" s="74"/>
      <c r="AL51" s="74"/>
      <c r="AM51" s="74"/>
      <c r="AN51" s="74"/>
      <c r="AO51" s="74"/>
      <c r="AP51" s="74"/>
      <c r="AQ51" s="74"/>
    </row>
    <row r="52" spans="1:43">
      <c r="A52" t="s">
        <v>0</v>
      </c>
      <c r="B52" t="s">
        <v>88</v>
      </c>
      <c r="C52">
        <v>0</v>
      </c>
      <c r="D52">
        <v>0</v>
      </c>
      <c r="E52">
        <v>10</v>
      </c>
      <c r="F52">
        <v>25</v>
      </c>
      <c r="G52">
        <v>27</v>
      </c>
      <c r="H52">
        <v>3</v>
      </c>
      <c r="I52">
        <v>200</v>
      </c>
      <c r="J52">
        <v>0</v>
      </c>
      <c r="K52" t="s">
        <v>1</v>
      </c>
      <c r="L52">
        <v>1203.0579</v>
      </c>
      <c r="M52" s="15">
        <v>3632.0882999999999</v>
      </c>
      <c r="N52" s="16" t="s">
        <v>210</v>
      </c>
      <c r="O52" s="16" t="s">
        <v>211</v>
      </c>
      <c r="P52">
        <v>0.78559999999999997</v>
      </c>
      <c r="Q52">
        <v>0</v>
      </c>
      <c r="R52" s="17">
        <v>59</v>
      </c>
      <c r="S52" s="17">
        <v>2862</v>
      </c>
      <c r="T52" t="s">
        <v>89</v>
      </c>
      <c r="U52" t="s">
        <v>212</v>
      </c>
      <c r="V52" s="2">
        <v>46108.410486111112</v>
      </c>
      <c r="Y52" t="s">
        <v>94</v>
      </c>
      <c r="Z52" t="s">
        <v>95</v>
      </c>
      <c r="AA52" t="s">
        <v>96</v>
      </c>
      <c r="AB52" t="s">
        <v>97</v>
      </c>
      <c r="AC52" t="s">
        <v>98</v>
      </c>
      <c r="AD52" t="s">
        <v>99</v>
      </c>
      <c r="AE52" t="s">
        <v>100</v>
      </c>
      <c r="AF52" t="s">
        <v>101</v>
      </c>
      <c r="AG52" t="s">
        <v>102</v>
      </c>
      <c r="AI52" t="s">
        <v>94</v>
      </c>
      <c r="AJ52" t="s">
        <v>95</v>
      </c>
      <c r="AK52" t="s">
        <v>96</v>
      </c>
      <c r="AL52" t="s">
        <v>97</v>
      </c>
      <c r="AM52" t="s">
        <v>98</v>
      </c>
      <c r="AN52" t="s">
        <v>99</v>
      </c>
      <c r="AO52" t="s">
        <v>100</v>
      </c>
      <c r="AP52" t="s">
        <v>101</v>
      </c>
      <c r="AQ52" t="s">
        <v>102</v>
      </c>
    </row>
    <row r="53" spans="1:43">
      <c r="A53" t="s">
        <v>0</v>
      </c>
      <c r="B53" t="s">
        <v>91</v>
      </c>
      <c r="C53">
        <v>0</v>
      </c>
      <c r="D53">
        <v>0</v>
      </c>
      <c r="E53">
        <v>10</v>
      </c>
      <c r="F53">
        <v>25</v>
      </c>
      <c r="G53">
        <v>27</v>
      </c>
      <c r="H53">
        <v>3</v>
      </c>
      <c r="I53">
        <v>200</v>
      </c>
      <c r="J53">
        <v>0</v>
      </c>
      <c r="K53" t="s">
        <v>1</v>
      </c>
      <c r="L53">
        <v>1202.6677</v>
      </c>
      <c r="M53" s="15">
        <v>3738.8139999999999</v>
      </c>
      <c r="N53" s="16" t="s">
        <v>213</v>
      </c>
      <c r="O53" s="16" t="s">
        <v>213</v>
      </c>
      <c r="P53">
        <v>0</v>
      </c>
      <c r="Q53">
        <v>1</v>
      </c>
      <c r="R53" s="17">
        <v>136</v>
      </c>
      <c r="S53" s="17">
        <v>2850</v>
      </c>
      <c r="T53" t="s">
        <v>92</v>
      </c>
      <c r="U53" t="s">
        <v>214</v>
      </c>
      <c r="V53" s="2">
        <v>46108.467685185184</v>
      </c>
      <c r="Y53" t="s">
        <v>103</v>
      </c>
      <c r="Z53">
        <v>25</v>
      </c>
      <c r="AA53">
        <v>227</v>
      </c>
      <c r="AB53">
        <v>617.1</v>
      </c>
      <c r="AC53">
        <v>617.1</v>
      </c>
      <c r="AD53">
        <v>8</v>
      </c>
      <c r="AE53">
        <v>1</v>
      </c>
      <c r="AF53">
        <v>78</v>
      </c>
      <c r="AG53">
        <v>5.8</v>
      </c>
      <c r="AI53" t="s">
        <v>103</v>
      </c>
      <c r="AJ53">
        <v>25</v>
      </c>
      <c r="AL53">
        <v>191.3</v>
      </c>
      <c r="AM53">
        <f>(O20-AC53)/AC53</f>
        <v>1.993031923513093E-3</v>
      </c>
      <c r="AN53">
        <v>3</v>
      </c>
      <c r="AO53">
        <v>1</v>
      </c>
      <c r="AP53">
        <f>S53/AF53</f>
        <v>36.53846153846154</v>
      </c>
      <c r="AQ53">
        <f>M53/AG53</f>
        <v>644.62310344827586</v>
      </c>
    </row>
    <row r="54" spans="1:43">
      <c r="Y54" t="s">
        <v>104</v>
      </c>
      <c r="Z54">
        <v>25</v>
      </c>
      <c r="AA54">
        <v>404</v>
      </c>
      <c r="AB54">
        <v>546.4</v>
      </c>
      <c r="AC54">
        <v>547.1</v>
      </c>
      <c r="AD54">
        <v>7</v>
      </c>
      <c r="AE54">
        <v>3</v>
      </c>
      <c r="AF54">
        <v>165</v>
      </c>
      <c r="AG54">
        <v>20.3</v>
      </c>
      <c r="AI54" t="s">
        <v>104</v>
      </c>
      <c r="AJ54">
        <v>25</v>
      </c>
      <c r="AL54">
        <v>190.3</v>
      </c>
      <c r="AM54">
        <f t="shared" ref="AM54:AM64" si="10">(O21-AC54)/AC54</f>
        <v>1.8420764028513519E-3</v>
      </c>
      <c r="AN54">
        <v>3</v>
      </c>
      <c r="AO54">
        <v>1</v>
      </c>
      <c r="AP54">
        <f t="shared" ref="AP54:AP64" si="11">S54/AF54</f>
        <v>0</v>
      </c>
      <c r="AQ54">
        <f t="shared" ref="AQ54:AQ64" si="12">M54/AG54</f>
        <v>0</v>
      </c>
    </row>
    <row r="55" spans="1:43">
      <c r="Y55" t="s">
        <v>105</v>
      </c>
      <c r="Z55">
        <v>25</v>
      </c>
      <c r="AA55">
        <v>510</v>
      </c>
      <c r="AB55">
        <v>454.6</v>
      </c>
      <c r="AC55">
        <v>454.6</v>
      </c>
      <c r="AD55">
        <v>5</v>
      </c>
      <c r="AE55">
        <v>1</v>
      </c>
      <c r="AF55">
        <v>246</v>
      </c>
      <c r="AG55">
        <v>22.2</v>
      </c>
      <c r="AI55" t="s">
        <v>105</v>
      </c>
      <c r="AJ55">
        <v>25</v>
      </c>
      <c r="AL55">
        <v>190.3</v>
      </c>
      <c r="AM55">
        <f t="shared" si="10"/>
        <v>2.4157501099867202E-3</v>
      </c>
      <c r="AN55">
        <v>3</v>
      </c>
      <c r="AO55">
        <v>1</v>
      </c>
      <c r="AP55">
        <f t="shared" si="11"/>
        <v>0</v>
      </c>
      <c r="AQ55">
        <f t="shared" si="12"/>
        <v>0</v>
      </c>
    </row>
    <row r="56" spans="1:43">
      <c r="A56" t="s">
        <v>224</v>
      </c>
      <c r="Y56" t="s">
        <v>106</v>
      </c>
      <c r="Z56">
        <v>25</v>
      </c>
      <c r="AA56">
        <v>559</v>
      </c>
      <c r="AB56">
        <v>416.9</v>
      </c>
      <c r="AC56">
        <v>416.9</v>
      </c>
      <c r="AD56">
        <v>4</v>
      </c>
      <c r="AE56">
        <v>1</v>
      </c>
      <c r="AF56">
        <v>419</v>
      </c>
      <c r="AG56">
        <v>46</v>
      </c>
      <c r="AI56" t="s">
        <v>106</v>
      </c>
      <c r="AJ56">
        <v>25</v>
      </c>
      <c r="AL56">
        <v>186.9</v>
      </c>
      <c r="AM56">
        <f t="shared" si="10"/>
        <v>2.5454545454546467E-3</v>
      </c>
      <c r="AN56">
        <v>3</v>
      </c>
      <c r="AO56">
        <v>1</v>
      </c>
      <c r="AP56">
        <f t="shared" si="11"/>
        <v>0</v>
      </c>
      <c r="AQ56">
        <f t="shared" si="12"/>
        <v>0</v>
      </c>
    </row>
    <row r="57" spans="1:43">
      <c r="A57" s="1" t="s">
        <v>0</v>
      </c>
      <c r="B57" t="s">
        <v>215</v>
      </c>
      <c r="C57">
        <v>0</v>
      </c>
      <c r="D57">
        <v>0</v>
      </c>
      <c r="E57">
        <v>10</v>
      </c>
      <c r="F57">
        <v>25</v>
      </c>
      <c r="G57">
        <v>27</v>
      </c>
      <c r="H57">
        <v>3</v>
      </c>
      <c r="I57">
        <v>200</v>
      </c>
      <c r="J57">
        <v>0</v>
      </c>
      <c r="K57" t="s">
        <v>1</v>
      </c>
      <c r="L57">
        <v>0.27029999999999998</v>
      </c>
      <c r="M57">
        <v>234.27850000000001</v>
      </c>
      <c r="N57">
        <v>191.3</v>
      </c>
      <c r="O57">
        <v>191.3</v>
      </c>
      <c r="P57">
        <v>0</v>
      </c>
      <c r="Q57">
        <v>1</v>
      </c>
      <c r="R57">
        <v>1</v>
      </c>
      <c r="S57">
        <v>1284</v>
      </c>
      <c r="T57" t="s">
        <v>135</v>
      </c>
      <c r="U57" t="s">
        <v>146</v>
      </c>
      <c r="V57" s="2">
        <v>46117.389363425929</v>
      </c>
      <c r="Y57" t="s">
        <v>107</v>
      </c>
      <c r="Z57">
        <v>25</v>
      </c>
      <c r="AA57">
        <v>303</v>
      </c>
      <c r="AB57">
        <v>526</v>
      </c>
      <c r="AC57">
        <v>530.5</v>
      </c>
      <c r="AD57">
        <v>6</v>
      </c>
      <c r="AE57">
        <v>7</v>
      </c>
      <c r="AF57">
        <v>554</v>
      </c>
      <c r="AG57">
        <v>22.6</v>
      </c>
      <c r="AI57" t="s">
        <v>107</v>
      </c>
      <c r="AJ57">
        <v>25</v>
      </c>
      <c r="AL57">
        <v>191.3</v>
      </c>
      <c r="AM57">
        <f t="shared" si="10"/>
        <v>1.9577756833175758E-3</v>
      </c>
      <c r="AN57">
        <v>3</v>
      </c>
      <c r="AO57">
        <v>1</v>
      </c>
      <c r="AP57">
        <f t="shared" si="11"/>
        <v>2.3176895306859207</v>
      </c>
      <c r="AQ57">
        <f t="shared" si="12"/>
        <v>10.366305309734512</v>
      </c>
    </row>
    <row r="58" spans="1:43">
      <c r="A58" s="1" t="s">
        <v>0</v>
      </c>
      <c r="B58" t="s">
        <v>216</v>
      </c>
      <c r="C58">
        <v>0</v>
      </c>
      <c r="D58">
        <v>0</v>
      </c>
      <c r="E58">
        <v>10</v>
      </c>
      <c r="F58">
        <v>25</v>
      </c>
      <c r="G58">
        <v>27</v>
      </c>
      <c r="H58">
        <v>3</v>
      </c>
      <c r="I58">
        <v>200</v>
      </c>
      <c r="J58">
        <v>0</v>
      </c>
      <c r="K58" t="s">
        <v>1</v>
      </c>
      <c r="L58">
        <v>27.145600000000002</v>
      </c>
      <c r="M58">
        <v>687.81100000000004</v>
      </c>
      <c r="N58">
        <v>190.3</v>
      </c>
      <c r="O58">
        <v>190.3</v>
      </c>
      <c r="P58">
        <v>0</v>
      </c>
      <c r="Q58">
        <v>1</v>
      </c>
      <c r="R58">
        <v>1</v>
      </c>
      <c r="S58">
        <v>2562</v>
      </c>
      <c r="T58" t="s">
        <v>139</v>
      </c>
      <c r="U58" t="s">
        <v>141</v>
      </c>
      <c r="V58" s="2">
        <v>46117.397638888891</v>
      </c>
      <c r="Y58" t="s">
        <v>108</v>
      </c>
      <c r="Z58">
        <v>25</v>
      </c>
      <c r="AA58">
        <v>458</v>
      </c>
      <c r="AB58">
        <v>457.3</v>
      </c>
      <c r="AC58">
        <v>467.4</v>
      </c>
      <c r="AD58">
        <v>5</v>
      </c>
      <c r="AE58">
        <v>15</v>
      </c>
      <c r="AF58">
        <v>2451</v>
      </c>
      <c r="AG58">
        <v>205.2</v>
      </c>
      <c r="AI58" t="s">
        <v>108</v>
      </c>
      <c r="AJ58">
        <v>25</v>
      </c>
      <c r="AL58">
        <v>191.3</v>
      </c>
      <c r="AM58">
        <f t="shared" si="10"/>
        <v>-1.9679075738124785E-3</v>
      </c>
      <c r="AN58">
        <v>3</v>
      </c>
      <c r="AO58">
        <v>1</v>
      </c>
      <c r="AP58">
        <f t="shared" si="11"/>
        <v>1.0452876376988984</v>
      </c>
      <c r="AQ58">
        <f t="shared" si="12"/>
        <v>3.3519054580896688</v>
      </c>
    </row>
    <row r="59" spans="1:43">
      <c r="A59" s="1" t="s">
        <v>0</v>
      </c>
      <c r="B59" t="s">
        <v>217</v>
      </c>
      <c r="C59">
        <v>0</v>
      </c>
      <c r="D59">
        <v>0</v>
      </c>
      <c r="E59">
        <v>10</v>
      </c>
      <c r="F59">
        <v>25</v>
      </c>
      <c r="G59">
        <v>27</v>
      </c>
      <c r="H59">
        <v>3</v>
      </c>
      <c r="I59">
        <v>200</v>
      </c>
      <c r="J59">
        <v>0</v>
      </c>
      <c r="K59" t="s">
        <v>1</v>
      </c>
      <c r="L59">
        <v>601.25609999999995</v>
      </c>
      <c r="M59">
        <v>3292.6817999999998</v>
      </c>
      <c r="N59">
        <v>190.3</v>
      </c>
      <c r="O59">
        <v>190.3</v>
      </c>
      <c r="P59">
        <v>0</v>
      </c>
      <c r="Q59">
        <v>1</v>
      </c>
      <c r="R59">
        <v>1</v>
      </c>
      <c r="S59">
        <v>2550</v>
      </c>
      <c r="T59" t="s">
        <v>141</v>
      </c>
      <c r="U59" t="s">
        <v>139</v>
      </c>
      <c r="V59" s="2">
        <v>46117.442708333336</v>
      </c>
      <c r="Y59" t="s">
        <v>109</v>
      </c>
      <c r="Z59">
        <v>25</v>
      </c>
      <c r="AA59">
        <v>542</v>
      </c>
      <c r="AB59">
        <v>423</v>
      </c>
      <c r="AC59">
        <v>424.3</v>
      </c>
      <c r="AD59">
        <v>4</v>
      </c>
      <c r="AE59">
        <v>21</v>
      </c>
      <c r="AF59">
        <v>3191</v>
      </c>
      <c r="AG59">
        <v>304.10000000000002</v>
      </c>
      <c r="AI59" t="s">
        <v>109</v>
      </c>
      <c r="AJ59">
        <v>25</v>
      </c>
      <c r="AL59">
        <v>191.3</v>
      </c>
      <c r="AM59">
        <f t="shared" si="10"/>
        <v>2.2825830780108551E-3</v>
      </c>
      <c r="AN59">
        <v>3</v>
      </c>
      <c r="AO59">
        <v>1</v>
      </c>
      <c r="AP59">
        <f t="shared" si="11"/>
        <v>0.79912253212159201</v>
      </c>
      <c r="AQ59">
        <f t="shared" si="12"/>
        <v>10.827628411706675</v>
      </c>
    </row>
    <row r="60" spans="1:43">
      <c r="A60" s="1" t="s">
        <v>0</v>
      </c>
      <c r="B60" t="s">
        <v>218</v>
      </c>
      <c r="C60">
        <v>0</v>
      </c>
      <c r="D60">
        <v>0</v>
      </c>
      <c r="E60">
        <v>10</v>
      </c>
      <c r="F60">
        <v>25</v>
      </c>
      <c r="G60">
        <v>27</v>
      </c>
      <c r="H60">
        <v>3</v>
      </c>
      <c r="I60">
        <v>200</v>
      </c>
      <c r="J60">
        <v>0</v>
      </c>
      <c r="K60" t="s">
        <v>1</v>
      </c>
      <c r="L60">
        <v>325.13130000000001</v>
      </c>
      <c r="M60">
        <v>1082.2246</v>
      </c>
      <c r="N60">
        <v>186.9</v>
      </c>
      <c r="O60">
        <v>186.9</v>
      </c>
      <c r="P60">
        <v>0</v>
      </c>
      <c r="Q60">
        <v>1</v>
      </c>
      <c r="R60">
        <v>1</v>
      </c>
      <c r="S60">
        <v>2535</v>
      </c>
      <c r="T60" t="s">
        <v>143</v>
      </c>
      <c r="U60" t="s">
        <v>219</v>
      </c>
      <c r="V60" s="2">
        <v>46117.458993055552</v>
      </c>
      <c r="Y60" t="s">
        <v>110</v>
      </c>
      <c r="Z60">
        <v>25</v>
      </c>
      <c r="AA60">
        <v>586</v>
      </c>
      <c r="AB60">
        <v>396.2</v>
      </c>
      <c r="AC60">
        <v>397.2</v>
      </c>
      <c r="AD60">
        <v>4</v>
      </c>
      <c r="AE60">
        <v>3</v>
      </c>
      <c r="AF60">
        <v>1041</v>
      </c>
      <c r="AG60">
        <v>307.39999999999998</v>
      </c>
      <c r="AI60" t="s">
        <v>110</v>
      </c>
      <c r="AJ60">
        <v>25</v>
      </c>
      <c r="AL60">
        <v>191.3</v>
      </c>
      <c r="AM60">
        <f t="shared" si="10"/>
        <v>2.7560422960724797E-3</v>
      </c>
      <c r="AN60">
        <v>3</v>
      </c>
      <c r="AO60">
        <v>1</v>
      </c>
      <c r="AP60">
        <f t="shared" si="11"/>
        <v>2.4351585014409221</v>
      </c>
      <c r="AQ60">
        <f t="shared" si="12"/>
        <v>3.5205744957709828</v>
      </c>
    </row>
    <row r="61" spans="1:43">
      <c r="A61" s="1" t="s">
        <v>0</v>
      </c>
      <c r="B61" t="s">
        <v>220</v>
      </c>
      <c r="C61">
        <v>0</v>
      </c>
      <c r="D61">
        <v>0</v>
      </c>
      <c r="E61">
        <v>10</v>
      </c>
      <c r="F61">
        <v>25</v>
      </c>
      <c r="G61">
        <v>27</v>
      </c>
      <c r="H61">
        <v>3</v>
      </c>
      <c r="I61">
        <v>200</v>
      </c>
      <c r="J61">
        <v>0</v>
      </c>
      <c r="K61" t="s">
        <v>1</v>
      </c>
      <c r="L61">
        <v>0.5444</v>
      </c>
      <c r="M61">
        <v>760.7758</v>
      </c>
      <c r="N61">
        <v>191.3</v>
      </c>
      <c r="O61">
        <v>191.3</v>
      </c>
      <c r="P61">
        <v>0</v>
      </c>
      <c r="Q61">
        <v>1</v>
      </c>
      <c r="R61">
        <v>1</v>
      </c>
      <c r="S61">
        <v>2355</v>
      </c>
      <c r="T61" t="s">
        <v>146</v>
      </c>
      <c r="U61" t="s">
        <v>147</v>
      </c>
      <c r="V61" s="2">
        <v>46117.467812499999</v>
      </c>
      <c r="Y61" t="s">
        <v>111</v>
      </c>
      <c r="Z61">
        <v>25</v>
      </c>
      <c r="AA61">
        <v>411</v>
      </c>
      <c r="AB61">
        <v>441.3</v>
      </c>
      <c r="AC61">
        <v>441.3</v>
      </c>
      <c r="AD61">
        <v>5</v>
      </c>
      <c r="AE61">
        <v>1</v>
      </c>
      <c r="AF61">
        <v>207</v>
      </c>
      <c r="AG61">
        <v>14.4</v>
      </c>
      <c r="AI61" t="s">
        <v>111</v>
      </c>
      <c r="AJ61">
        <v>25</v>
      </c>
      <c r="AL61">
        <v>189.4</v>
      </c>
      <c r="AM61">
        <f t="shared" si="10"/>
        <v>3.0029458418309434E-3</v>
      </c>
      <c r="AN61">
        <v>3</v>
      </c>
      <c r="AO61">
        <v>3</v>
      </c>
      <c r="AP61">
        <f t="shared" si="11"/>
        <v>11.376811594202898</v>
      </c>
      <c r="AQ61">
        <f t="shared" si="12"/>
        <v>52.831652777777776</v>
      </c>
    </row>
    <row r="62" spans="1:43">
      <c r="A62" s="1" t="s">
        <v>0</v>
      </c>
      <c r="B62" t="s">
        <v>221</v>
      </c>
      <c r="C62">
        <v>0</v>
      </c>
      <c r="D62">
        <v>0</v>
      </c>
      <c r="E62">
        <v>10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0.27689999999999998</v>
      </c>
      <c r="M62">
        <v>181.34350000000001</v>
      </c>
      <c r="N62">
        <v>191.3</v>
      </c>
      <c r="O62">
        <v>191.3</v>
      </c>
      <c r="P62">
        <v>0</v>
      </c>
      <c r="Q62">
        <v>1</v>
      </c>
      <c r="R62">
        <v>1</v>
      </c>
      <c r="S62">
        <v>1236</v>
      </c>
      <c r="T62" t="s">
        <v>149</v>
      </c>
      <c r="U62" t="s">
        <v>147</v>
      </c>
      <c r="V62" s="2">
        <v>46117.469907407409</v>
      </c>
      <c r="Y62" t="s">
        <v>112</v>
      </c>
      <c r="Z62">
        <v>25</v>
      </c>
      <c r="AA62">
        <v>530</v>
      </c>
      <c r="AB62">
        <v>425.4</v>
      </c>
      <c r="AC62">
        <v>429.5</v>
      </c>
      <c r="AD62">
        <v>4</v>
      </c>
      <c r="AE62">
        <v>5</v>
      </c>
      <c r="AF62">
        <v>655</v>
      </c>
      <c r="AG62">
        <v>64.3</v>
      </c>
      <c r="AI62" t="s">
        <v>112</v>
      </c>
      <c r="AJ62">
        <v>25</v>
      </c>
      <c r="AM62">
        <f t="shared" si="10"/>
        <v>3.8119208381839395E-2</v>
      </c>
      <c r="AP62">
        <f t="shared" si="11"/>
        <v>1.8870229007633588</v>
      </c>
      <c r="AQ62">
        <f t="shared" si="12"/>
        <v>2.8202721617418351</v>
      </c>
    </row>
    <row r="63" spans="1:43">
      <c r="A63" s="1" t="s">
        <v>0</v>
      </c>
      <c r="B63" t="s">
        <v>222</v>
      </c>
      <c r="C63">
        <v>0</v>
      </c>
      <c r="D63">
        <v>0</v>
      </c>
      <c r="E63">
        <v>10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0.50560000000000005</v>
      </c>
      <c r="M63">
        <v>1106.9341999999999</v>
      </c>
      <c r="N63">
        <v>191.3</v>
      </c>
      <c r="O63">
        <v>191.3</v>
      </c>
      <c r="P63">
        <v>0</v>
      </c>
      <c r="Q63">
        <v>1</v>
      </c>
      <c r="R63">
        <v>1</v>
      </c>
      <c r="S63">
        <v>2922</v>
      </c>
      <c r="T63" t="s">
        <v>149</v>
      </c>
      <c r="U63" t="s">
        <v>135</v>
      </c>
      <c r="V63" s="2">
        <v>46117.482731481483</v>
      </c>
      <c r="Y63" t="s">
        <v>113</v>
      </c>
      <c r="Z63">
        <v>25</v>
      </c>
      <c r="AA63">
        <v>526</v>
      </c>
      <c r="AB63">
        <v>423.5</v>
      </c>
      <c r="AC63">
        <v>428.8</v>
      </c>
      <c r="AD63">
        <v>4</v>
      </c>
      <c r="AE63">
        <v>15</v>
      </c>
      <c r="AF63">
        <v>2794</v>
      </c>
      <c r="AG63">
        <v>330</v>
      </c>
      <c r="AI63" t="s">
        <v>113</v>
      </c>
      <c r="AJ63">
        <v>25</v>
      </c>
      <c r="AM63">
        <f t="shared" si="10"/>
        <v>2.0914179104477254E-3</v>
      </c>
      <c r="AP63">
        <f t="shared" si="11"/>
        <v>1.0458124552612742</v>
      </c>
      <c r="AQ63">
        <f t="shared" si="12"/>
        <v>3.3543460606060602</v>
      </c>
    </row>
    <row r="64" spans="1:43">
      <c r="A64" s="1" t="s">
        <v>0</v>
      </c>
      <c r="B64" t="s">
        <v>223</v>
      </c>
      <c r="C64">
        <v>0</v>
      </c>
      <c r="D64">
        <v>0</v>
      </c>
      <c r="E64">
        <v>10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14.5905</v>
      </c>
      <c r="M64">
        <v>968.09159999999997</v>
      </c>
      <c r="N64">
        <v>191.3</v>
      </c>
      <c r="O64">
        <v>191.3</v>
      </c>
      <c r="P64">
        <v>0</v>
      </c>
      <c r="Q64">
        <v>1</v>
      </c>
      <c r="R64">
        <v>1</v>
      </c>
      <c r="S64">
        <v>2718</v>
      </c>
      <c r="T64" t="s">
        <v>146</v>
      </c>
      <c r="U64" t="s">
        <v>146</v>
      </c>
      <c r="V64" s="2">
        <v>46117.494097222225</v>
      </c>
      <c r="Y64" t="s">
        <v>114</v>
      </c>
      <c r="Z64">
        <v>25</v>
      </c>
      <c r="AA64">
        <v>647</v>
      </c>
      <c r="AB64">
        <v>383.9</v>
      </c>
      <c r="AC64">
        <v>393</v>
      </c>
      <c r="AD64">
        <v>4</v>
      </c>
      <c r="AE64">
        <v>21</v>
      </c>
      <c r="AF64">
        <v>2643</v>
      </c>
      <c r="AG64">
        <v>623.29999999999995</v>
      </c>
      <c r="AI64" t="s">
        <v>114</v>
      </c>
      <c r="AJ64">
        <v>25</v>
      </c>
      <c r="AM64">
        <f t="shared" si="10"/>
        <v>5.3203562340966319E-3</v>
      </c>
      <c r="AP64">
        <f t="shared" si="11"/>
        <v>1.0283768444948922</v>
      </c>
      <c r="AQ64">
        <f t="shared" si="12"/>
        <v>1.5531711856248998</v>
      </c>
    </row>
    <row r="65" spans="1:30">
      <c r="A65" s="1" t="s">
        <v>0</v>
      </c>
      <c r="B65" t="s">
        <v>68</v>
      </c>
      <c r="C65">
        <v>0</v>
      </c>
      <c r="D65">
        <v>0</v>
      </c>
      <c r="E65">
        <v>10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600.46209999999996</v>
      </c>
      <c r="M65">
        <v>706.8116</v>
      </c>
      <c r="N65">
        <v>191.3</v>
      </c>
      <c r="O65">
        <v>191.3</v>
      </c>
      <c r="P65">
        <v>0</v>
      </c>
      <c r="Q65">
        <v>1</v>
      </c>
      <c r="R65">
        <v>1</v>
      </c>
      <c r="S65">
        <v>1518</v>
      </c>
      <c r="T65" t="s">
        <v>152</v>
      </c>
      <c r="U65" t="s">
        <v>135</v>
      </c>
      <c r="V65" s="2">
        <v>46117.509236111109</v>
      </c>
    </row>
    <row r="66" spans="1:30">
      <c r="Z66" t="s">
        <v>481</v>
      </c>
    </row>
    <row r="67" spans="1:30">
      <c r="Z67" t="s">
        <v>349</v>
      </c>
      <c r="AC67" t="s">
        <v>350</v>
      </c>
    </row>
    <row r="68" spans="1:30" ht="15" thickBot="1">
      <c r="A68" s="1" t="s">
        <v>227</v>
      </c>
      <c r="AA68" t="s">
        <v>348</v>
      </c>
      <c r="AD68" t="s">
        <v>348</v>
      </c>
    </row>
    <row r="69" spans="1:30">
      <c r="Y69" s="14" t="s">
        <v>60</v>
      </c>
      <c r="Z69" s="43">
        <v>618.32989999999995</v>
      </c>
      <c r="AA69" s="47" t="s">
        <v>156</v>
      </c>
      <c r="AC69" s="5">
        <v>83.838300000000004</v>
      </c>
      <c r="AD69" s="15">
        <v>25.3171</v>
      </c>
    </row>
    <row r="70" spans="1:30">
      <c r="A70" s="1" t="s">
        <v>0</v>
      </c>
      <c r="B70" t="s">
        <v>64</v>
      </c>
      <c r="C70">
        <v>0</v>
      </c>
      <c r="D70">
        <v>0</v>
      </c>
      <c r="E70">
        <v>10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3.0007000000000001</v>
      </c>
      <c r="M70">
        <v>3605.002</v>
      </c>
      <c r="N70">
        <v>267.7</v>
      </c>
      <c r="O70">
        <v>290.10000000000002</v>
      </c>
      <c r="P70">
        <v>8.3675999999999995</v>
      </c>
      <c r="Q70">
        <v>0</v>
      </c>
      <c r="R70">
        <v>504</v>
      </c>
      <c r="S70">
        <v>2520</v>
      </c>
      <c r="T70" t="s">
        <v>228</v>
      </c>
      <c r="U70" t="s">
        <v>229</v>
      </c>
      <c r="V70" t="s">
        <v>230</v>
      </c>
      <c r="W70" s="2">
        <v>46117.875243055554</v>
      </c>
      <c r="Y70" t="s">
        <v>66</v>
      </c>
      <c r="Z70" s="44">
        <v>548.1078</v>
      </c>
      <c r="AA70" s="48" t="s">
        <v>158</v>
      </c>
      <c r="AC70" s="5">
        <v>3688.5971</v>
      </c>
      <c r="AD70" s="15">
        <v>1620.0409</v>
      </c>
    </row>
    <row r="71" spans="1:30" s="29" customFormat="1" ht="15" thickBot="1">
      <c r="A71" s="35" t="s">
        <v>0</v>
      </c>
      <c r="B71" s="36" t="s">
        <v>59</v>
      </c>
      <c r="C71" s="36">
        <v>0</v>
      </c>
      <c r="D71" s="36">
        <v>0</v>
      </c>
      <c r="E71" s="36">
        <v>10</v>
      </c>
      <c r="F71" s="36">
        <v>25</v>
      </c>
      <c r="G71" s="36">
        <v>27</v>
      </c>
      <c r="H71" s="36">
        <v>3</v>
      </c>
      <c r="I71" s="36">
        <v>200</v>
      </c>
      <c r="J71" s="36">
        <v>0</v>
      </c>
      <c r="K71" s="36" t="s">
        <v>1</v>
      </c>
      <c r="L71" s="36">
        <v>14.0547</v>
      </c>
      <c r="M71" s="36">
        <v>4305.5973000000004</v>
      </c>
      <c r="N71" s="36">
        <v>291.39999999999998</v>
      </c>
      <c r="O71" s="36">
        <v>315.89999999999998</v>
      </c>
      <c r="P71" s="36">
        <v>8.4077000000000002</v>
      </c>
      <c r="Q71" s="36">
        <v>0</v>
      </c>
      <c r="R71" s="36">
        <v>3</v>
      </c>
      <c r="S71" s="36">
        <v>2124</v>
      </c>
      <c r="T71" s="36" t="s">
        <v>231</v>
      </c>
      <c r="U71" s="36" t="s">
        <v>232</v>
      </c>
      <c r="V71" s="36" t="s">
        <v>233</v>
      </c>
      <c r="W71" s="37">
        <v>46118.514351851853</v>
      </c>
      <c r="Y71" t="s">
        <v>72</v>
      </c>
      <c r="Z71" s="45">
        <v>455.69819999999999</v>
      </c>
      <c r="AA71" s="48" t="s">
        <v>161</v>
      </c>
      <c r="AC71" s="8">
        <v>1528.8381999999999</v>
      </c>
      <c r="AD71" s="15">
        <v>185.24809999999999</v>
      </c>
    </row>
    <row r="72" spans="1:30">
      <c r="A72" s="1" t="s">
        <v>0</v>
      </c>
      <c r="B72" t="s">
        <v>70</v>
      </c>
      <c r="C72">
        <v>0</v>
      </c>
      <c r="D72">
        <v>0</v>
      </c>
      <c r="E72">
        <v>10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6.8392999999999997</v>
      </c>
      <c r="M72">
        <v>3675.0828999999999</v>
      </c>
      <c r="N72">
        <v>302</v>
      </c>
      <c r="O72">
        <v>269</v>
      </c>
      <c r="P72">
        <v>-10.927199999999999</v>
      </c>
      <c r="Q72">
        <v>0</v>
      </c>
      <c r="R72">
        <v>60</v>
      </c>
      <c r="S72">
        <v>4725</v>
      </c>
      <c r="T72" t="s">
        <v>231</v>
      </c>
      <c r="U72" t="s">
        <v>235</v>
      </c>
      <c r="V72" t="s">
        <v>236</v>
      </c>
      <c r="W72" s="2">
        <v>46118.734444444446</v>
      </c>
      <c r="Y72" t="s">
        <v>73</v>
      </c>
      <c r="Z72" s="44">
        <v>417.96120000000002</v>
      </c>
      <c r="AA72" s="48" t="s">
        <v>165</v>
      </c>
      <c r="AC72" s="5">
        <v>848.95150000000001</v>
      </c>
      <c r="AD72" s="15">
        <v>162.71610000000001</v>
      </c>
    </row>
    <row r="73" spans="1:30" ht="15" thickBot="1">
      <c r="A73" s="38" t="s">
        <v>0</v>
      </c>
      <c r="B73" s="39" t="s">
        <v>81</v>
      </c>
      <c r="C73" s="39">
        <v>0</v>
      </c>
      <c r="D73" s="39">
        <v>0</v>
      </c>
      <c r="E73" s="39">
        <v>10</v>
      </c>
      <c r="F73" s="39">
        <v>25</v>
      </c>
      <c r="G73" s="39">
        <v>27</v>
      </c>
      <c r="H73" s="39">
        <v>3</v>
      </c>
      <c r="I73" s="39">
        <v>200</v>
      </c>
      <c r="J73" s="39">
        <v>0</v>
      </c>
      <c r="K73" s="39" t="s">
        <v>1</v>
      </c>
      <c r="L73" s="39">
        <v>60.286900000000003</v>
      </c>
      <c r="M73" s="39">
        <v>3885.1981000000001</v>
      </c>
      <c r="N73" s="39">
        <v>278.10000000000002</v>
      </c>
      <c r="O73" s="39">
        <v>277.7</v>
      </c>
      <c r="P73" s="39">
        <v>-0.14380000000000001</v>
      </c>
      <c r="Q73" s="39">
        <v>0</v>
      </c>
      <c r="R73" s="39">
        <v>3</v>
      </c>
      <c r="S73" s="39">
        <v>3858</v>
      </c>
      <c r="T73" s="39" t="s">
        <v>231</v>
      </c>
      <c r="U73" s="39" t="s">
        <v>237</v>
      </c>
      <c r="V73" s="39" t="s">
        <v>239</v>
      </c>
      <c r="W73" s="40">
        <v>46118.82199074074</v>
      </c>
      <c r="Y73" t="s">
        <v>74</v>
      </c>
      <c r="Z73" s="44">
        <v>531.53859999999997</v>
      </c>
      <c r="AA73" s="48" t="s">
        <v>168</v>
      </c>
      <c r="AC73" s="5">
        <v>267.18189999999998</v>
      </c>
      <c r="AD73" s="15">
        <v>45.564900000000002</v>
      </c>
    </row>
    <row r="74" spans="1:30">
      <c r="A74" s="1" t="s">
        <v>0</v>
      </c>
      <c r="B74" t="s">
        <v>82</v>
      </c>
      <c r="C74">
        <v>0</v>
      </c>
      <c r="D74">
        <v>0</v>
      </c>
      <c r="E74">
        <v>10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60.237200000000001</v>
      </c>
      <c r="M74">
        <v>3653.6028999999999</v>
      </c>
      <c r="N74">
        <v>267.7</v>
      </c>
      <c r="O74">
        <v>272.7</v>
      </c>
      <c r="P74">
        <v>1.8677999999999999</v>
      </c>
      <c r="Q74">
        <v>0</v>
      </c>
      <c r="R74">
        <v>64</v>
      </c>
      <c r="S74">
        <v>4221</v>
      </c>
      <c r="T74" t="s">
        <v>231</v>
      </c>
      <c r="U74" t="s">
        <v>229</v>
      </c>
      <c r="V74" t="s">
        <v>241</v>
      </c>
      <c r="W74" s="2">
        <v>46118.907037037039</v>
      </c>
      <c r="Y74" t="s">
        <v>75</v>
      </c>
      <c r="Z74" s="44">
        <v>466.48020000000002</v>
      </c>
      <c r="AA74" s="48" t="s">
        <v>170</v>
      </c>
      <c r="AC74" s="5">
        <v>3642.4569000000001</v>
      </c>
      <c r="AD74" s="15">
        <v>896.23320000000001</v>
      </c>
    </row>
    <row r="75" spans="1:30" ht="15" thickBot="1">
      <c r="A75" s="38" t="s">
        <v>0</v>
      </c>
      <c r="B75" s="39" t="s">
        <v>85</v>
      </c>
      <c r="C75" s="39">
        <v>0</v>
      </c>
      <c r="D75" s="39">
        <v>0</v>
      </c>
      <c r="E75" s="39">
        <v>10</v>
      </c>
      <c r="F75" s="39">
        <v>25</v>
      </c>
      <c r="G75" s="39">
        <v>27</v>
      </c>
      <c r="H75" s="39">
        <v>3</v>
      </c>
      <c r="I75" s="39">
        <v>200</v>
      </c>
      <c r="J75" s="39">
        <v>0</v>
      </c>
      <c r="K75" s="39" t="s">
        <v>1</v>
      </c>
      <c r="L75" s="39">
        <v>60.887300000000003</v>
      </c>
      <c r="M75" s="39">
        <v>3855.4402</v>
      </c>
      <c r="N75" s="39">
        <v>265.7</v>
      </c>
      <c r="O75" s="39">
        <v>268.7</v>
      </c>
      <c r="P75" s="39">
        <v>1.1291</v>
      </c>
      <c r="Q75" s="39">
        <v>0</v>
      </c>
      <c r="R75" s="39">
        <v>13</v>
      </c>
      <c r="S75" s="39">
        <v>1785</v>
      </c>
      <c r="T75" s="39" t="s">
        <v>231</v>
      </c>
      <c r="U75" s="39" t="s">
        <v>242</v>
      </c>
      <c r="V75" s="39" t="s">
        <v>244</v>
      </c>
      <c r="W75" s="40">
        <v>46118.994745370372</v>
      </c>
      <c r="Y75" t="s">
        <v>76</v>
      </c>
      <c r="Z75" s="44">
        <v>425.26850000000002</v>
      </c>
      <c r="AA75" s="48" t="s">
        <v>173</v>
      </c>
      <c r="AC75" s="5">
        <v>1103.3267000000001</v>
      </c>
      <c r="AD75" s="15">
        <v>191.86699999999999</v>
      </c>
    </row>
    <row r="76" spans="1:30">
      <c r="A76" s="1" t="s">
        <v>0</v>
      </c>
      <c r="B76" t="s">
        <v>88</v>
      </c>
      <c r="C76">
        <v>0</v>
      </c>
      <c r="D76">
        <v>0</v>
      </c>
      <c r="E76">
        <v>10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>
        <v>60.744100000000003</v>
      </c>
      <c r="M76">
        <v>3673.9272999999998</v>
      </c>
      <c r="N76">
        <v>264.7</v>
      </c>
      <c r="O76">
        <v>264.2</v>
      </c>
      <c r="P76">
        <v>-0.18890000000000001</v>
      </c>
      <c r="Q76">
        <v>0</v>
      </c>
      <c r="R76">
        <v>13</v>
      </c>
      <c r="S76">
        <v>3195</v>
      </c>
      <c r="T76" t="s">
        <v>231</v>
      </c>
      <c r="U76" t="s">
        <v>245</v>
      </c>
      <c r="V76" t="s">
        <v>247</v>
      </c>
      <c r="W76" s="2">
        <v>46119.081608796296</v>
      </c>
      <c r="X76" t="s">
        <v>344</v>
      </c>
      <c r="Y76" t="s">
        <v>77</v>
      </c>
      <c r="Z76" s="44">
        <v>398.29469999999998</v>
      </c>
      <c r="AA76" s="48" t="s">
        <v>176</v>
      </c>
      <c r="AC76" s="5">
        <v>3735.8645999999999</v>
      </c>
      <c r="AD76" s="15">
        <v>545.2921</v>
      </c>
    </row>
    <row r="77" spans="1:30">
      <c r="Y77" t="s">
        <v>78</v>
      </c>
      <c r="Z77" s="44">
        <v>442.62520000000001</v>
      </c>
      <c r="AA77" s="48" t="s">
        <v>179</v>
      </c>
      <c r="AC77" s="5">
        <v>792.71079999999995</v>
      </c>
      <c r="AD77" s="15">
        <v>64.655000000000001</v>
      </c>
    </row>
    <row r="78" spans="1:30">
      <c r="Y78" t="s">
        <v>79</v>
      </c>
      <c r="Z78" s="44">
        <v>445.87220000000002</v>
      </c>
      <c r="AA78" s="48" t="s">
        <v>182</v>
      </c>
      <c r="AC78" s="5">
        <v>4107.8910999999998</v>
      </c>
      <c r="AD78" s="15">
        <v>1085.3520000000001</v>
      </c>
    </row>
    <row r="79" spans="1:30">
      <c r="Y79" t="s">
        <v>80</v>
      </c>
      <c r="Z79" s="44">
        <v>429.6968</v>
      </c>
      <c r="AA79" s="48" t="s">
        <v>185</v>
      </c>
      <c r="AC79" s="5">
        <v>2720.2743999999998</v>
      </c>
      <c r="AD79" s="15">
        <v>313.93610000000001</v>
      </c>
    </row>
    <row r="80" spans="1:30" ht="15" thickBot="1">
      <c r="Y80" t="s">
        <v>71</v>
      </c>
      <c r="Z80" s="46">
        <v>395.09089999999998</v>
      </c>
      <c r="AA80" s="49" t="s">
        <v>189</v>
      </c>
      <c r="AC80" s="5">
        <v>3610.0805999999998</v>
      </c>
      <c r="AD80" s="24">
        <v>3346.43</v>
      </c>
    </row>
    <row r="84" spans="1:9">
      <c r="A84" t="s">
        <v>248</v>
      </c>
      <c r="B84" t="s">
        <v>249</v>
      </c>
      <c r="C84" t="s">
        <v>250</v>
      </c>
      <c r="D84" t="s">
        <v>251</v>
      </c>
      <c r="E84" t="s">
        <v>252</v>
      </c>
      <c r="F84" t="s">
        <v>253</v>
      </c>
      <c r="G84" t="s">
        <v>254</v>
      </c>
      <c r="H84" t="s">
        <v>255</v>
      </c>
      <c r="I84" t="s">
        <v>256</v>
      </c>
    </row>
    <row r="85" spans="1:9">
      <c r="A85" t="s">
        <v>257</v>
      </c>
      <c r="B85">
        <v>290.10000000000002</v>
      </c>
      <c r="C85">
        <v>290.10000000000002</v>
      </c>
      <c r="D85">
        <v>3605.002</v>
      </c>
      <c r="E85">
        <v>3637.509</v>
      </c>
      <c r="F85">
        <v>8.3675999999999995</v>
      </c>
      <c r="G85">
        <v>-3.6315</v>
      </c>
      <c r="H85">
        <f>(B85-C85)/B85</f>
        <v>0</v>
      </c>
      <c r="I85">
        <f>(E85-D85)/D85</f>
        <v>9.0171933330411638E-3</v>
      </c>
    </row>
    <row r="86" spans="1:9">
      <c r="A86" t="s">
        <v>258</v>
      </c>
      <c r="B86">
        <v>321.10000000000002</v>
      </c>
      <c r="C86">
        <v>280</v>
      </c>
      <c r="D86">
        <v>3637.509</v>
      </c>
      <c r="E86">
        <v>4375.8422</v>
      </c>
      <c r="F86">
        <v>-3.6315</v>
      </c>
      <c r="G86">
        <v>-15.9664</v>
      </c>
      <c r="H86">
        <f t="shared" ref="H86:H91" si="13">(B86-C86)/B86</f>
        <v>0.12799750856431025</v>
      </c>
      <c r="I86">
        <f t="shared" ref="I86:I91" si="14">(E86-D86)/D86</f>
        <v>0.20297769709985597</v>
      </c>
    </row>
    <row r="87" spans="1:9">
      <c r="A87" t="s">
        <v>259</v>
      </c>
      <c r="B87">
        <v>291.7</v>
      </c>
      <c r="C87">
        <v>269</v>
      </c>
      <c r="D87">
        <v>3607.7972</v>
      </c>
      <c r="E87">
        <v>3675.0828999999999</v>
      </c>
      <c r="G87">
        <v>-10.927199999999999</v>
      </c>
      <c r="H87">
        <f t="shared" si="13"/>
        <v>7.7819677751114119E-2</v>
      </c>
      <c r="I87">
        <f t="shared" si="14"/>
        <v>1.865007822501772E-2</v>
      </c>
    </row>
    <row r="88" spans="1:9">
      <c r="A88" t="s">
        <v>260</v>
      </c>
      <c r="B88">
        <v>328.8</v>
      </c>
      <c r="C88">
        <v>277.7</v>
      </c>
      <c r="D88">
        <v>3618.3038000000001</v>
      </c>
      <c r="E88">
        <v>3885.1981000000001</v>
      </c>
      <c r="F88">
        <v>18.230899999999998</v>
      </c>
      <c r="G88">
        <v>-0.14380000000000001</v>
      </c>
      <c r="H88">
        <f t="shared" si="13"/>
        <v>0.15541362530413633</v>
      </c>
      <c r="I88">
        <f t="shared" si="14"/>
        <v>7.3762269492130522E-2</v>
      </c>
    </row>
    <row r="89" spans="1:9">
      <c r="A89" t="s">
        <v>261</v>
      </c>
      <c r="B89">
        <v>274</v>
      </c>
      <c r="C89">
        <v>272.7</v>
      </c>
      <c r="D89">
        <v>3634.4701</v>
      </c>
      <c r="E89">
        <v>3653.6028999999999</v>
      </c>
      <c r="F89">
        <v>2.3534000000000002</v>
      </c>
      <c r="G89">
        <v>1.8677999999999999</v>
      </c>
      <c r="H89">
        <f t="shared" si="13"/>
        <v>4.7445255474452969E-3</v>
      </c>
      <c r="I89">
        <f t="shared" si="14"/>
        <v>5.2642612192627097E-3</v>
      </c>
    </row>
    <row r="90" spans="1:9">
      <c r="A90" t="s">
        <v>262</v>
      </c>
      <c r="B90">
        <v>268.7</v>
      </c>
      <c r="C90">
        <v>268.7</v>
      </c>
      <c r="D90">
        <v>3661.5070000000001</v>
      </c>
      <c r="E90">
        <v>3855.4402</v>
      </c>
      <c r="F90">
        <v>1.1291</v>
      </c>
      <c r="G90">
        <v>1.1291</v>
      </c>
      <c r="H90">
        <f t="shared" si="13"/>
        <v>0</v>
      </c>
      <c r="I90">
        <f t="shared" si="14"/>
        <v>5.296540468173349E-2</v>
      </c>
    </row>
    <row r="91" spans="1:9">
      <c r="A91" t="s">
        <v>263</v>
      </c>
      <c r="B91">
        <v>266.2</v>
      </c>
      <c r="C91">
        <v>264.2</v>
      </c>
      <c r="D91">
        <v>3770.1239999999998</v>
      </c>
      <c r="E91">
        <v>3673.9272999999998</v>
      </c>
      <c r="F91">
        <v>0.56669999999999998</v>
      </c>
      <c r="G91">
        <v>-0.18890000000000001</v>
      </c>
      <c r="H91">
        <f t="shared" si="13"/>
        <v>7.5131480090157776E-3</v>
      </c>
      <c r="I91">
        <f t="shared" si="14"/>
        <v>-2.5515526810258753E-2</v>
      </c>
    </row>
    <row r="95" spans="1:9">
      <c r="A95" s="1" t="s">
        <v>227</v>
      </c>
    </row>
    <row r="97" spans="1:23" ht="15" thickBot="1">
      <c r="A97" s="1" t="s">
        <v>0</v>
      </c>
      <c r="B97" t="s">
        <v>64</v>
      </c>
      <c r="C97">
        <v>0</v>
      </c>
      <c r="D97">
        <v>0</v>
      </c>
      <c r="E97">
        <v>10</v>
      </c>
      <c r="F97">
        <v>25</v>
      </c>
      <c r="G97">
        <v>27</v>
      </c>
      <c r="H97">
        <v>3</v>
      </c>
      <c r="I97">
        <v>200</v>
      </c>
      <c r="J97">
        <v>0</v>
      </c>
      <c r="K97" t="s">
        <v>1</v>
      </c>
      <c r="L97">
        <v>3.0007000000000001</v>
      </c>
      <c r="M97">
        <v>3605.002</v>
      </c>
      <c r="N97">
        <v>267.7</v>
      </c>
      <c r="O97">
        <v>290.10000000000002</v>
      </c>
      <c r="P97">
        <v>8.3675999999999995</v>
      </c>
      <c r="Q97">
        <v>0</v>
      </c>
      <c r="R97">
        <v>504</v>
      </c>
      <c r="S97">
        <v>2520</v>
      </c>
      <c r="T97" t="s">
        <v>228</v>
      </c>
      <c r="U97" t="s">
        <v>229</v>
      </c>
      <c r="V97" t="s">
        <v>230</v>
      </c>
      <c r="W97" s="2">
        <v>46117.875243055554</v>
      </c>
    </row>
    <row r="98" spans="1:23">
      <c r="A98" s="31" t="s">
        <v>0</v>
      </c>
      <c r="B98" s="32" t="s">
        <v>59</v>
      </c>
      <c r="C98" s="32">
        <v>0</v>
      </c>
      <c r="D98" s="32">
        <v>0</v>
      </c>
      <c r="E98" s="32">
        <v>10</v>
      </c>
      <c r="F98" s="32">
        <v>25</v>
      </c>
      <c r="G98" s="32">
        <v>27</v>
      </c>
      <c r="H98" s="32">
        <v>3</v>
      </c>
      <c r="I98" s="32">
        <v>200</v>
      </c>
      <c r="J98" s="32">
        <v>0</v>
      </c>
      <c r="K98" s="32" t="s">
        <v>1</v>
      </c>
      <c r="L98" s="32">
        <v>14.0547</v>
      </c>
      <c r="M98" s="32">
        <v>3602.4236000000001</v>
      </c>
      <c r="N98" s="32">
        <v>291.39999999999998</v>
      </c>
      <c r="O98" s="33">
        <v>-1</v>
      </c>
      <c r="P98" s="32"/>
      <c r="Q98" s="32"/>
      <c r="R98" s="32">
        <v>0</v>
      </c>
      <c r="S98" s="32">
        <v>0</v>
      </c>
      <c r="T98" s="32" t="s">
        <v>228</v>
      </c>
      <c r="U98" s="32" t="s">
        <v>232</v>
      </c>
      <c r="V98" s="32" t="s">
        <v>28</v>
      </c>
      <c r="W98" s="34">
        <v>46118.464513888888</v>
      </c>
    </row>
    <row r="99" spans="1:23" ht="15" thickBot="1">
      <c r="A99" s="35" t="s">
        <v>0</v>
      </c>
      <c r="B99" s="36" t="s">
        <v>59</v>
      </c>
      <c r="C99" s="36">
        <v>0</v>
      </c>
      <c r="D99" s="36">
        <v>0</v>
      </c>
      <c r="E99" s="36">
        <v>10</v>
      </c>
      <c r="F99" s="36">
        <v>25</v>
      </c>
      <c r="G99" s="36">
        <v>27</v>
      </c>
      <c r="H99" s="36">
        <v>3</v>
      </c>
      <c r="I99" s="36">
        <v>200</v>
      </c>
      <c r="J99" s="36">
        <v>0</v>
      </c>
      <c r="K99" s="36" t="s">
        <v>1</v>
      </c>
      <c r="L99" s="36">
        <v>14.0547</v>
      </c>
      <c r="M99" s="36">
        <v>4305.5973000000004</v>
      </c>
      <c r="N99" s="36">
        <v>291.39999999999998</v>
      </c>
      <c r="O99" s="36">
        <v>315.89999999999998</v>
      </c>
      <c r="P99" s="36">
        <v>8.4077000000000002</v>
      </c>
      <c r="Q99" s="36">
        <v>0</v>
      </c>
      <c r="R99" s="36">
        <v>3</v>
      </c>
      <c r="S99" s="36">
        <v>2124</v>
      </c>
      <c r="T99" s="36" t="s">
        <v>231</v>
      </c>
      <c r="U99" s="36" t="s">
        <v>232</v>
      </c>
      <c r="V99" s="36" t="s">
        <v>233</v>
      </c>
      <c r="W99" s="37">
        <v>46118.514351851853</v>
      </c>
    </row>
    <row r="100" spans="1:23">
      <c r="A100" s="1" t="s">
        <v>0</v>
      </c>
      <c r="B100" t="s">
        <v>70</v>
      </c>
      <c r="C100">
        <v>0</v>
      </c>
      <c r="D100">
        <v>0</v>
      </c>
      <c r="E100">
        <v>10</v>
      </c>
      <c r="F100">
        <v>25</v>
      </c>
      <c r="G100">
        <v>27</v>
      </c>
      <c r="H100">
        <v>3</v>
      </c>
      <c r="I100">
        <v>200</v>
      </c>
      <c r="J100">
        <v>0</v>
      </c>
      <c r="K100" t="s">
        <v>1</v>
      </c>
      <c r="L100">
        <v>9.9198000000000004</v>
      </c>
      <c r="M100">
        <v>3607.7972</v>
      </c>
      <c r="N100">
        <v>291.7</v>
      </c>
      <c r="O100" s="30">
        <v>-1</v>
      </c>
      <c r="R100">
        <v>0</v>
      </c>
      <c r="S100">
        <v>0</v>
      </c>
      <c r="T100" t="s">
        <v>228</v>
      </c>
      <c r="U100" t="s">
        <v>234</v>
      </c>
      <c r="V100" t="s">
        <v>28</v>
      </c>
      <c r="W100" s="2">
        <v>46118.561874999999</v>
      </c>
    </row>
    <row r="101" spans="1:23" ht="15" thickBot="1">
      <c r="A101" s="1" t="s">
        <v>0</v>
      </c>
      <c r="B101" t="s">
        <v>70</v>
      </c>
      <c r="C101">
        <v>0</v>
      </c>
      <c r="D101">
        <v>0</v>
      </c>
      <c r="E101">
        <v>10</v>
      </c>
      <c r="F101">
        <v>25</v>
      </c>
      <c r="G101">
        <v>27</v>
      </c>
      <c r="H101">
        <v>3</v>
      </c>
      <c r="I101">
        <v>200</v>
      </c>
      <c r="J101">
        <v>0</v>
      </c>
      <c r="K101" t="s">
        <v>1</v>
      </c>
      <c r="L101">
        <v>6.8392999999999997</v>
      </c>
      <c r="M101">
        <v>3675.0828999999999</v>
      </c>
      <c r="N101">
        <v>302</v>
      </c>
      <c r="O101" s="30">
        <v>269</v>
      </c>
      <c r="P101">
        <v>-10.927199999999999</v>
      </c>
      <c r="Q101">
        <v>0</v>
      </c>
      <c r="R101">
        <v>60</v>
      </c>
      <c r="S101">
        <v>4725</v>
      </c>
      <c r="T101" t="s">
        <v>231</v>
      </c>
      <c r="U101" t="s">
        <v>235</v>
      </c>
      <c r="V101" t="s">
        <v>236</v>
      </c>
      <c r="W101" s="2">
        <v>46118.734444444446</v>
      </c>
    </row>
    <row r="102" spans="1:23">
      <c r="A102" s="31" t="s">
        <v>0</v>
      </c>
      <c r="B102" s="32" t="s">
        <v>81</v>
      </c>
      <c r="C102" s="32">
        <v>0</v>
      </c>
      <c r="D102" s="32">
        <v>0</v>
      </c>
      <c r="E102" s="32">
        <v>10</v>
      </c>
      <c r="F102" s="32">
        <v>25</v>
      </c>
      <c r="G102" s="32">
        <v>27</v>
      </c>
      <c r="H102" s="32">
        <v>3</v>
      </c>
      <c r="I102" s="32">
        <v>200</v>
      </c>
      <c r="J102" s="32">
        <v>0</v>
      </c>
      <c r="K102" s="32" t="s">
        <v>1</v>
      </c>
      <c r="L102" s="32">
        <v>60.286900000000003</v>
      </c>
      <c r="M102" s="32">
        <v>3618.3038000000001</v>
      </c>
      <c r="N102" s="32">
        <v>278.10000000000002</v>
      </c>
      <c r="O102" s="32">
        <v>328.8</v>
      </c>
      <c r="P102" s="32">
        <v>18.230899999999998</v>
      </c>
      <c r="Q102" s="32">
        <v>0</v>
      </c>
      <c r="R102" s="32">
        <v>97</v>
      </c>
      <c r="S102" s="32">
        <v>3120</v>
      </c>
      <c r="T102" s="32" t="s">
        <v>228</v>
      </c>
      <c r="U102" s="32" t="s">
        <v>237</v>
      </c>
      <c r="V102" s="32" t="s">
        <v>238</v>
      </c>
      <c r="W102" s="34">
        <v>46118.777025462965</v>
      </c>
    </row>
    <row r="103" spans="1:23" ht="15" thickBot="1">
      <c r="A103" s="38" t="s">
        <v>0</v>
      </c>
      <c r="B103" s="39" t="s">
        <v>81</v>
      </c>
      <c r="C103" s="39">
        <v>0</v>
      </c>
      <c r="D103" s="39">
        <v>0</v>
      </c>
      <c r="E103" s="39">
        <v>10</v>
      </c>
      <c r="F103" s="39">
        <v>25</v>
      </c>
      <c r="G103" s="39">
        <v>27</v>
      </c>
      <c r="H103" s="39">
        <v>3</v>
      </c>
      <c r="I103" s="39">
        <v>200</v>
      </c>
      <c r="J103" s="39">
        <v>0</v>
      </c>
      <c r="K103" s="39" t="s">
        <v>1</v>
      </c>
      <c r="L103" s="39">
        <v>60.286900000000003</v>
      </c>
      <c r="M103" s="39">
        <v>3885.1981000000001</v>
      </c>
      <c r="N103" s="39">
        <v>278.10000000000002</v>
      </c>
      <c r="O103" s="39">
        <v>277.7</v>
      </c>
      <c r="P103" s="39">
        <v>-0.14380000000000001</v>
      </c>
      <c r="Q103" s="39">
        <v>0</v>
      </c>
      <c r="R103" s="39">
        <v>3</v>
      </c>
      <c r="S103" s="39">
        <v>3858</v>
      </c>
      <c r="T103" s="39" t="s">
        <v>231</v>
      </c>
      <c r="U103" s="39" t="s">
        <v>237</v>
      </c>
      <c r="V103" s="39" t="s">
        <v>239</v>
      </c>
      <c r="W103" s="40">
        <v>46118.82199074074</v>
      </c>
    </row>
    <row r="104" spans="1:23">
      <c r="A104" s="1" t="s">
        <v>0</v>
      </c>
      <c r="B104" t="s">
        <v>82</v>
      </c>
      <c r="C104">
        <v>0</v>
      </c>
      <c r="D104">
        <v>0</v>
      </c>
      <c r="E104">
        <v>10</v>
      </c>
      <c r="F104">
        <v>25</v>
      </c>
      <c r="G104">
        <v>27</v>
      </c>
      <c r="H104">
        <v>3</v>
      </c>
      <c r="I104">
        <v>200</v>
      </c>
      <c r="J104">
        <v>0</v>
      </c>
      <c r="K104" t="s">
        <v>1</v>
      </c>
      <c r="L104">
        <v>60.237200000000001</v>
      </c>
      <c r="M104">
        <v>3634.4701</v>
      </c>
      <c r="N104">
        <v>267.7</v>
      </c>
      <c r="O104">
        <v>274</v>
      </c>
      <c r="P104">
        <v>2.3534000000000002</v>
      </c>
      <c r="Q104">
        <v>0</v>
      </c>
      <c r="R104">
        <v>82</v>
      </c>
      <c r="S104">
        <v>3450</v>
      </c>
      <c r="T104" t="s">
        <v>228</v>
      </c>
      <c r="U104" t="s">
        <v>229</v>
      </c>
      <c r="V104" t="s">
        <v>240</v>
      </c>
      <c r="W104" s="2">
        <v>46118.864756944444</v>
      </c>
    </row>
    <row r="105" spans="1:23" ht="15" thickBot="1">
      <c r="A105" s="1" t="s">
        <v>0</v>
      </c>
      <c r="B105" t="s">
        <v>82</v>
      </c>
      <c r="C105">
        <v>0</v>
      </c>
      <c r="D105">
        <v>0</v>
      </c>
      <c r="E105">
        <v>10</v>
      </c>
      <c r="F105">
        <v>25</v>
      </c>
      <c r="G105">
        <v>27</v>
      </c>
      <c r="H105">
        <v>3</v>
      </c>
      <c r="I105">
        <v>200</v>
      </c>
      <c r="J105">
        <v>0</v>
      </c>
      <c r="K105" t="s">
        <v>1</v>
      </c>
      <c r="L105">
        <v>60.237200000000001</v>
      </c>
      <c r="M105">
        <v>3653.6028999999999</v>
      </c>
      <c r="N105">
        <v>267.7</v>
      </c>
      <c r="O105">
        <v>272.7</v>
      </c>
      <c r="P105">
        <v>1.8677999999999999</v>
      </c>
      <c r="Q105">
        <v>0</v>
      </c>
      <c r="R105">
        <v>64</v>
      </c>
      <c r="S105">
        <v>4221</v>
      </c>
      <c r="T105" t="s">
        <v>231</v>
      </c>
      <c r="U105" t="s">
        <v>229</v>
      </c>
      <c r="V105" t="s">
        <v>241</v>
      </c>
      <c r="W105" s="2">
        <v>46118.907037037039</v>
      </c>
    </row>
    <row r="106" spans="1:23">
      <c r="A106" s="31" t="s">
        <v>0</v>
      </c>
      <c r="B106" s="32" t="s">
        <v>85</v>
      </c>
      <c r="C106" s="32">
        <v>0</v>
      </c>
      <c r="D106" s="32">
        <v>0</v>
      </c>
      <c r="E106" s="32">
        <v>10</v>
      </c>
      <c r="F106" s="32">
        <v>25</v>
      </c>
      <c r="G106" s="32">
        <v>27</v>
      </c>
      <c r="H106" s="32">
        <v>3</v>
      </c>
      <c r="I106" s="32">
        <v>200</v>
      </c>
      <c r="J106" s="32">
        <v>0</v>
      </c>
      <c r="K106" s="32" t="s">
        <v>1</v>
      </c>
      <c r="L106" s="32">
        <v>60.887300000000003</v>
      </c>
      <c r="M106" s="32">
        <v>3661.5070000000001</v>
      </c>
      <c r="N106" s="32">
        <v>265.7</v>
      </c>
      <c r="O106" s="32">
        <v>268.7</v>
      </c>
      <c r="P106" s="32">
        <v>1.1291</v>
      </c>
      <c r="Q106" s="32">
        <v>0</v>
      </c>
      <c r="R106" s="32">
        <v>14</v>
      </c>
      <c r="S106" s="32">
        <v>1320</v>
      </c>
      <c r="T106" s="32" t="s">
        <v>228</v>
      </c>
      <c r="U106" s="32" t="s">
        <v>242</v>
      </c>
      <c r="V106" s="32" t="s">
        <v>243</v>
      </c>
      <c r="W106" s="34">
        <v>46118.950127314813</v>
      </c>
    </row>
    <row r="107" spans="1:23" ht="15" thickBot="1">
      <c r="A107" s="38" t="s">
        <v>0</v>
      </c>
      <c r="B107" s="39" t="s">
        <v>85</v>
      </c>
      <c r="C107" s="39">
        <v>0</v>
      </c>
      <c r="D107" s="39">
        <v>0</v>
      </c>
      <c r="E107" s="39">
        <v>10</v>
      </c>
      <c r="F107" s="39">
        <v>25</v>
      </c>
      <c r="G107" s="39">
        <v>27</v>
      </c>
      <c r="H107" s="39">
        <v>3</v>
      </c>
      <c r="I107" s="39">
        <v>200</v>
      </c>
      <c r="J107" s="39">
        <v>0</v>
      </c>
      <c r="K107" s="39" t="s">
        <v>1</v>
      </c>
      <c r="L107" s="39">
        <v>60.887300000000003</v>
      </c>
      <c r="M107" s="39">
        <v>3855.4402</v>
      </c>
      <c r="N107" s="39">
        <v>265.7</v>
      </c>
      <c r="O107" s="39">
        <v>268.7</v>
      </c>
      <c r="P107" s="39">
        <v>1.1291</v>
      </c>
      <c r="Q107" s="39">
        <v>0</v>
      </c>
      <c r="R107" s="39">
        <v>13</v>
      </c>
      <c r="S107" s="39">
        <v>1785</v>
      </c>
      <c r="T107" s="39" t="s">
        <v>231</v>
      </c>
      <c r="U107" s="39" t="s">
        <v>242</v>
      </c>
      <c r="V107" s="39" t="s">
        <v>244</v>
      </c>
      <c r="W107" s="40">
        <v>46118.994745370372</v>
      </c>
    </row>
    <row r="108" spans="1:23">
      <c r="A108" s="1" t="s">
        <v>0</v>
      </c>
      <c r="B108" t="s">
        <v>88</v>
      </c>
      <c r="C108">
        <v>0</v>
      </c>
      <c r="D108">
        <v>0</v>
      </c>
      <c r="E108">
        <v>10</v>
      </c>
      <c r="F108">
        <v>25</v>
      </c>
      <c r="G108">
        <v>27</v>
      </c>
      <c r="H108">
        <v>3</v>
      </c>
      <c r="I108">
        <v>200</v>
      </c>
      <c r="J108">
        <v>0</v>
      </c>
      <c r="K108" t="s">
        <v>1</v>
      </c>
      <c r="L108">
        <v>60.744100000000003</v>
      </c>
      <c r="M108">
        <v>3770.1239999999998</v>
      </c>
      <c r="N108">
        <v>264.7</v>
      </c>
      <c r="O108">
        <v>266.2</v>
      </c>
      <c r="P108">
        <v>0.56669999999999998</v>
      </c>
      <c r="Q108">
        <v>0</v>
      </c>
      <c r="R108">
        <v>10</v>
      </c>
      <c r="S108">
        <v>2367</v>
      </c>
      <c r="T108" t="s">
        <v>228</v>
      </c>
      <c r="U108" t="s">
        <v>245</v>
      </c>
      <c r="V108" t="s">
        <v>246</v>
      </c>
      <c r="W108" s="2">
        <v>46119.039085648146</v>
      </c>
    </row>
    <row r="109" spans="1:23">
      <c r="A109" s="1" t="s">
        <v>0</v>
      </c>
      <c r="B109" t="s">
        <v>88</v>
      </c>
      <c r="C109">
        <v>0</v>
      </c>
      <c r="D109">
        <v>0</v>
      </c>
      <c r="E109">
        <v>10</v>
      </c>
      <c r="F109">
        <v>25</v>
      </c>
      <c r="G109">
        <v>27</v>
      </c>
      <c r="H109">
        <v>3</v>
      </c>
      <c r="I109">
        <v>200</v>
      </c>
      <c r="J109">
        <v>0</v>
      </c>
      <c r="K109" t="s">
        <v>1</v>
      </c>
      <c r="L109">
        <v>60.744100000000003</v>
      </c>
      <c r="M109">
        <v>3673.9272999999998</v>
      </c>
      <c r="N109">
        <v>264.7</v>
      </c>
      <c r="O109">
        <v>264.2</v>
      </c>
      <c r="P109">
        <v>-0.18890000000000001</v>
      </c>
      <c r="Q109">
        <v>0</v>
      </c>
      <c r="R109">
        <v>13</v>
      </c>
      <c r="S109">
        <v>3195</v>
      </c>
      <c r="T109" t="s">
        <v>231</v>
      </c>
      <c r="U109" t="s">
        <v>245</v>
      </c>
      <c r="V109" t="s">
        <v>247</v>
      </c>
      <c r="W109" s="2">
        <v>46119.081608796296</v>
      </c>
    </row>
  </sheetData>
  <mergeCells count="12">
    <mergeCell ref="Y51:AG51"/>
    <mergeCell ref="AI51:AQ51"/>
    <mergeCell ref="AW36:BA36"/>
    <mergeCell ref="Y16:AG16"/>
    <mergeCell ref="AI16:AQ16"/>
    <mergeCell ref="Y32:AG32"/>
    <mergeCell ref="AI32:AQ32"/>
    <mergeCell ref="AX14:BB14"/>
    <mergeCell ref="AX4:BB4"/>
    <mergeCell ref="Y1:AG1"/>
    <mergeCell ref="AI1:AQ1"/>
    <mergeCell ref="AW26:BA26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08FFF-5B47-4DFE-B730-01B3EB4C9E3F}">
  <sheetPr codeName="Planilha16"/>
  <dimension ref="J13"/>
  <sheetViews>
    <sheetView workbookViewId="0">
      <selection activeCell="J13" sqref="J13"/>
    </sheetView>
  </sheetViews>
  <sheetFormatPr defaultRowHeight="14.4"/>
  <sheetData>
    <row r="13" spans="10:10">
      <c r="J13">
        <f>400*1.2</f>
        <v>480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3D032-B0EF-42AD-B56B-43306A4DDBF0}">
  <sheetPr codeName="Planilha2"/>
  <dimension ref="B3:K56"/>
  <sheetViews>
    <sheetView zoomScale="55" zoomScaleNormal="55" workbookViewId="0">
      <selection activeCell="P37" sqref="P37"/>
    </sheetView>
  </sheetViews>
  <sheetFormatPr defaultRowHeight="14.4"/>
  <sheetData>
    <row r="3" spans="2:11">
      <c r="C3" t="s">
        <v>132</v>
      </c>
    </row>
    <row r="4" spans="2:11">
      <c r="B4" s="10" t="s">
        <v>94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100</v>
      </c>
      <c r="I4" s="10" t="s">
        <v>101</v>
      </c>
      <c r="J4" s="10" t="s">
        <v>102</v>
      </c>
      <c r="K4" s="10"/>
    </row>
    <row r="5" spans="2:11">
      <c r="B5" t="s">
        <v>103</v>
      </c>
      <c r="C5">
        <v>25</v>
      </c>
      <c r="D5">
        <v>227</v>
      </c>
      <c r="E5">
        <v>617.1</v>
      </c>
      <c r="F5">
        <v>617.1</v>
      </c>
      <c r="G5">
        <v>8</v>
      </c>
      <c r="H5">
        <v>1</v>
      </c>
      <c r="I5">
        <v>78</v>
      </c>
      <c r="J5">
        <v>5.8</v>
      </c>
    </row>
    <row r="6" spans="2:11">
      <c r="B6" t="s">
        <v>103</v>
      </c>
      <c r="C6">
        <v>50</v>
      </c>
      <c r="D6">
        <v>817</v>
      </c>
      <c r="E6">
        <v>1034.5999999999999</v>
      </c>
      <c r="F6">
        <v>1035.2</v>
      </c>
      <c r="G6">
        <v>12</v>
      </c>
      <c r="H6">
        <v>11</v>
      </c>
      <c r="I6">
        <v>1395</v>
      </c>
      <c r="J6">
        <v>66.7</v>
      </c>
    </row>
    <row r="7" spans="2:11">
      <c r="B7" t="s">
        <v>103</v>
      </c>
      <c r="C7">
        <v>100</v>
      </c>
      <c r="D7">
        <v>3272</v>
      </c>
      <c r="E7">
        <v>1604.5</v>
      </c>
      <c r="F7">
        <v>1607.7</v>
      </c>
      <c r="G7">
        <v>18</v>
      </c>
      <c r="H7">
        <v>23</v>
      </c>
      <c r="I7">
        <v>8596</v>
      </c>
      <c r="J7">
        <v>1064.2</v>
      </c>
    </row>
    <row r="8" spans="2:11">
      <c r="B8" t="s">
        <v>104</v>
      </c>
      <c r="C8">
        <v>25</v>
      </c>
      <c r="D8">
        <v>404</v>
      </c>
      <c r="E8">
        <v>546.4</v>
      </c>
      <c r="F8">
        <v>547.1</v>
      </c>
      <c r="G8">
        <v>7</v>
      </c>
      <c r="H8">
        <v>3</v>
      </c>
      <c r="I8">
        <v>165</v>
      </c>
      <c r="J8">
        <v>20.3</v>
      </c>
    </row>
    <row r="9" spans="2:11">
      <c r="B9" t="s">
        <v>104</v>
      </c>
      <c r="C9">
        <v>50</v>
      </c>
      <c r="D9">
        <v>1437</v>
      </c>
      <c r="E9">
        <v>904.6</v>
      </c>
      <c r="F9">
        <v>904.6</v>
      </c>
      <c r="G9">
        <v>11</v>
      </c>
      <c r="H9">
        <v>1</v>
      </c>
      <c r="I9">
        <v>591</v>
      </c>
      <c r="J9">
        <v>67.8</v>
      </c>
    </row>
    <row r="10" spans="2:11">
      <c r="B10" t="s">
        <v>104</v>
      </c>
      <c r="C10">
        <v>100</v>
      </c>
      <c r="D10">
        <v>5336</v>
      </c>
      <c r="E10">
        <v>1434</v>
      </c>
      <c r="F10">
        <v>1434</v>
      </c>
      <c r="G10">
        <v>17</v>
      </c>
      <c r="H10">
        <v>1</v>
      </c>
      <c r="I10">
        <v>2126</v>
      </c>
      <c r="J10">
        <v>756.9</v>
      </c>
    </row>
    <row r="11" spans="2:11">
      <c r="B11" t="s">
        <v>105</v>
      </c>
      <c r="C11">
        <v>25</v>
      </c>
      <c r="D11">
        <v>510</v>
      </c>
      <c r="E11">
        <v>454.6</v>
      </c>
      <c r="F11">
        <v>454.6</v>
      </c>
      <c r="G11">
        <v>5</v>
      </c>
      <c r="H11">
        <v>1</v>
      </c>
      <c r="I11">
        <v>246</v>
      </c>
      <c r="J11">
        <v>22.2</v>
      </c>
    </row>
    <row r="12" spans="2:11">
      <c r="B12" t="s">
        <v>105</v>
      </c>
      <c r="C12">
        <v>50</v>
      </c>
      <c r="D12">
        <v>1859</v>
      </c>
      <c r="E12">
        <v>765.4</v>
      </c>
      <c r="F12">
        <v>772.5</v>
      </c>
      <c r="G12">
        <v>9</v>
      </c>
      <c r="H12">
        <v>173</v>
      </c>
      <c r="I12">
        <v>37330</v>
      </c>
      <c r="J12">
        <v>8939.1</v>
      </c>
    </row>
    <row r="13" spans="2:11">
      <c r="B13" t="s">
        <v>106</v>
      </c>
      <c r="C13">
        <v>25</v>
      </c>
      <c r="D13">
        <v>559</v>
      </c>
      <c r="E13">
        <v>416.9</v>
      </c>
      <c r="F13">
        <v>416.9</v>
      </c>
      <c r="G13">
        <v>4</v>
      </c>
      <c r="H13">
        <v>1</v>
      </c>
      <c r="I13">
        <v>419</v>
      </c>
      <c r="J13">
        <v>46</v>
      </c>
    </row>
    <row r="14" spans="2:11">
      <c r="B14" t="s">
        <v>107</v>
      </c>
      <c r="C14">
        <v>25</v>
      </c>
      <c r="D14">
        <v>303</v>
      </c>
      <c r="E14">
        <v>526</v>
      </c>
      <c r="F14">
        <v>530.5</v>
      </c>
      <c r="G14">
        <v>6</v>
      </c>
      <c r="H14">
        <v>7</v>
      </c>
      <c r="I14">
        <v>554</v>
      </c>
      <c r="J14">
        <v>22.6</v>
      </c>
    </row>
    <row r="15" spans="2:11">
      <c r="B15" t="s">
        <v>107</v>
      </c>
      <c r="C15">
        <v>50</v>
      </c>
      <c r="D15">
        <v>1076</v>
      </c>
      <c r="E15">
        <v>891.7</v>
      </c>
      <c r="F15">
        <v>899.3</v>
      </c>
      <c r="G15">
        <v>9</v>
      </c>
      <c r="H15">
        <v>33</v>
      </c>
      <c r="I15">
        <v>4458</v>
      </c>
      <c r="J15">
        <v>362.6</v>
      </c>
    </row>
    <row r="16" spans="2:11">
      <c r="B16" s="11" t="s">
        <v>108</v>
      </c>
      <c r="C16" s="11">
        <v>25</v>
      </c>
      <c r="D16" s="11">
        <v>458</v>
      </c>
      <c r="E16" s="11">
        <v>457.3</v>
      </c>
      <c r="F16" s="11">
        <v>467.4</v>
      </c>
      <c r="G16" s="11">
        <v>5</v>
      </c>
      <c r="H16" s="11">
        <v>15</v>
      </c>
      <c r="I16" s="11">
        <v>2451</v>
      </c>
      <c r="J16" s="11">
        <v>205.2</v>
      </c>
      <c r="K16" s="11"/>
    </row>
    <row r="17" spans="2:11">
      <c r="B17" t="s">
        <v>108</v>
      </c>
      <c r="C17">
        <v>50</v>
      </c>
      <c r="D17">
        <v>1642</v>
      </c>
      <c r="E17">
        <v>783.3</v>
      </c>
      <c r="F17">
        <v>785.2</v>
      </c>
      <c r="G17">
        <v>8</v>
      </c>
      <c r="H17">
        <v>5</v>
      </c>
      <c r="I17">
        <v>1688</v>
      </c>
      <c r="J17">
        <v>386.4</v>
      </c>
    </row>
    <row r="18" spans="2:11">
      <c r="B18" t="s">
        <v>109</v>
      </c>
      <c r="C18">
        <v>25</v>
      </c>
      <c r="D18">
        <v>542</v>
      </c>
      <c r="E18">
        <v>423</v>
      </c>
      <c r="F18">
        <v>424.3</v>
      </c>
      <c r="G18">
        <v>4</v>
      </c>
      <c r="H18">
        <v>21</v>
      </c>
      <c r="I18">
        <v>3191</v>
      </c>
      <c r="J18">
        <v>304.10000000000002</v>
      </c>
    </row>
    <row r="19" spans="2:11">
      <c r="B19" t="s">
        <v>109</v>
      </c>
      <c r="C19">
        <v>50</v>
      </c>
      <c r="D19">
        <v>1995</v>
      </c>
      <c r="E19">
        <v>703.2</v>
      </c>
      <c r="F19">
        <v>711.1</v>
      </c>
      <c r="G19">
        <v>7</v>
      </c>
      <c r="H19">
        <v>79</v>
      </c>
      <c r="I19">
        <v>19816</v>
      </c>
      <c r="J19">
        <v>7362.1</v>
      </c>
    </row>
    <row r="20" spans="2:11">
      <c r="B20" t="s">
        <v>110</v>
      </c>
      <c r="C20">
        <v>25</v>
      </c>
      <c r="D20">
        <v>586</v>
      </c>
      <c r="E20">
        <v>396.2</v>
      </c>
      <c r="F20">
        <v>397.2</v>
      </c>
      <c r="G20">
        <v>4</v>
      </c>
      <c r="H20">
        <v>3</v>
      </c>
      <c r="I20">
        <v>1041</v>
      </c>
      <c r="J20">
        <v>307.39999999999998</v>
      </c>
    </row>
    <row r="21" spans="2:11">
      <c r="B21" t="s">
        <v>111</v>
      </c>
      <c r="C21">
        <v>25</v>
      </c>
      <c r="D21">
        <v>411</v>
      </c>
      <c r="E21">
        <v>441.3</v>
      </c>
      <c r="F21">
        <v>441.3</v>
      </c>
      <c r="G21">
        <v>5</v>
      </c>
      <c r="H21">
        <v>1</v>
      </c>
      <c r="I21">
        <v>207</v>
      </c>
      <c r="J21">
        <v>14.4</v>
      </c>
    </row>
    <row r="22" spans="2:11">
      <c r="B22" t="s">
        <v>112</v>
      </c>
      <c r="C22">
        <v>25</v>
      </c>
      <c r="D22">
        <v>530</v>
      </c>
      <c r="E22">
        <v>425.4</v>
      </c>
      <c r="F22">
        <v>429.5</v>
      </c>
      <c r="G22">
        <v>4</v>
      </c>
      <c r="H22">
        <v>5</v>
      </c>
      <c r="I22">
        <v>655</v>
      </c>
      <c r="J22">
        <v>64.3</v>
      </c>
    </row>
    <row r="23" spans="2:11">
      <c r="B23" s="10" t="s">
        <v>112</v>
      </c>
      <c r="C23" s="10">
        <v>50</v>
      </c>
      <c r="D23" s="10">
        <v>2026</v>
      </c>
      <c r="E23" s="10">
        <v>692.4</v>
      </c>
      <c r="F23" s="10">
        <v>697</v>
      </c>
      <c r="G23" s="10">
        <v>7</v>
      </c>
      <c r="H23" s="10">
        <v>53</v>
      </c>
      <c r="I23" s="10">
        <v>15341</v>
      </c>
      <c r="J23" s="10">
        <v>4906.1000000000004</v>
      </c>
      <c r="K23" s="10"/>
    </row>
    <row r="24" spans="2:11">
      <c r="B24" t="s">
        <v>113</v>
      </c>
      <c r="C24">
        <v>25</v>
      </c>
      <c r="D24">
        <v>526</v>
      </c>
      <c r="E24">
        <v>423.5</v>
      </c>
      <c r="F24">
        <v>428.8</v>
      </c>
      <c r="G24">
        <v>4</v>
      </c>
      <c r="H24">
        <v>15</v>
      </c>
      <c r="I24">
        <v>2794</v>
      </c>
      <c r="J24">
        <v>330</v>
      </c>
    </row>
    <row r="25" spans="2:11">
      <c r="B25" t="s">
        <v>114</v>
      </c>
      <c r="C25">
        <v>25</v>
      </c>
      <c r="D25">
        <v>647</v>
      </c>
      <c r="E25">
        <v>383.9</v>
      </c>
      <c r="F25">
        <v>393</v>
      </c>
      <c r="G25">
        <v>4</v>
      </c>
      <c r="H25">
        <v>21</v>
      </c>
      <c r="I25">
        <v>2643</v>
      </c>
      <c r="J25">
        <v>623.29999999999995</v>
      </c>
    </row>
    <row r="27" spans="2:11">
      <c r="B27" t="s">
        <v>115</v>
      </c>
      <c r="C27">
        <v>25</v>
      </c>
      <c r="D27">
        <v>332</v>
      </c>
      <c r="E27">
        <v>191.3</v>
      </c>
      <c r="F27">
        <v>191.3</v>
      </c>
      <c r="G27">
        <v>3</v>
      </c>
      <c r="H27">
        <v>1</v>
      </c>
      <c r="I27">
        <v>498</v>
      </c>
      <c r="J27">
        <v>18.600000000000001</v>
      </c>
    </row>
    <row r="28" spans="2:11">
      <c r="B28" t="s">
        <v>115</v>
      </c>
      <c r="C28">
        <v>50</v>
      </c>
      <c r="D28">
        <v>1217</v>
      </c>
      <c r="E28">
        <v>362.4</v>
      </c>
      <c r="F28">
        <v>362.4</v>
      </c>
      <c r="G28">
        <v>5</v>
      </c>
      <c r="H28">
        <v>1</v>
      </c>
      <c r="I28">
        <v>870</v>
      </c>
      <c r="J28">
        <v>67.099999999999994</v>
      </c>
    </row>
    <row r="29" spans="2:11">
      <c r="B29" s="11" t="s">
        <v>115</v>
      </c>
      <c r="C29" s="11">
        <v>100</v>
      </c>
      <c r="D29" s="11">
        <v>4515</v>
      </c>
      <c r="E29" s="11">
        <v>827.3</v>
      </c>
      <c r="F29" s="11">
        <v>827.3</v>
      </c>
      <c r="G29" s="11">
        <v>10</v>
      </c>
      <c r="H29" s="11">
        <v>1</v>
      </c>
      <c r="I29" s="11">
        <v>3768</v>
      </c>
      <c r="J29" s="11">
        <v>434.5</v>
      </c>
      <c r="K29" s="11"/>
    </row>
    <row r="30" spans="2:11">
      <c r="B30" t="s">
        <v>116</v>
      </c>
      <c r="C30">
        <v>25</v>
      </c>
      <c r="D30">
        <v>473</v>
      </c>
      <c r="E30">
        <v>190.3</v>
      </c>
      <c r="F30">
        <v>190.3</v>
      </c>
      <c r="G30">
        <v>3</v>
      </c>
      <c r="H30">
        <v>1</v>
      </c>
      <c r="I30">
        <v>534</v>
      </c>
      <c r="J30">
        <v>79.7</v>
      </c>
    </row>
    <row r="31" spans="2:11">
      <c r="B31" t="s">
        <v>116</v>
      </c>
      <c r="C31">
        <v>50</v>
      </c>
      <c r="D31">
        <v>1732</v>
      </c>
      <c r="E31">
        <v>361.4</v>
      </c>
      <c r="F31">
        <v>361.4</v>
      </c>
      <c r="G31">
        <v>5</v>
      </c>
      <c r="H31">
        <v>1</v>
      </c>
      <c r="I31">
        <v>1554</v>
      </c>
      <c r="J31">
        <v>330.2</v>
      </c>
    </row>
    <row r="32" spans="2:11">
      <c r="B32" t="s">
        <v>116</v>
      </c>
      <c r="C32">
        <v>100</v>
      </c>
      <c r="D32">
        <v>6581</v>
      </c>
      <c r="E32">
        <v>827.3</v>
      </c>
      <c r="F32">
        <v>827.3</v>
      </c>
      <c r="G32">
        <v>10</v>
      </c>
      <c r="H32">
        <v>1</v>
      </c>
      <c r="I32">
        <v>4038</v>
      </c>
      <c r="J32">
        <v>1990.8</v>
      </c>
    </row>
    <row r="33" spans="2:11">
      <c r="B33" t="s">
        <v>117</v>
      </c>
      <c r="C33">
        <v>25</v>
      </c>
      <c r="D33">
        <v>569</v>
      </c>
      <c r="E33">
        <v>190.3</v>
      </c>
      <c r="F33">
        <v>190.3</v>
      </c>
      <c r="G33">
        <v>3</v>
      </c>
      <c r="H33">
        <v>1</v>
      </c>
      <c r="I33">
        <v>447</v>
      </c>
      <c r="J33">
        <v>134.69999999999999</v>
      </c>
    </row>
    <row r="34" spans="2:11">
      <c r="B34" s="12" t="s">
        <v>117</v>
      </c>
      <c r="C34" s="12">
        <v>50</v>
      </c>
      <c r="D34" s="12">
        <v>2165</v>
      </c>
      <c r="E34" s="12">
        <v>361.4</v>
      </c>
      <c r="F34" s="12">
        <v>361.4</v>
      </c>
      <c r="G34" s="12">
        <v>4</v>
      </c>
      <c r="H34" s="12">
        <v>1</v>
      </c>
      <c r="I34" s="12">
        <v>1769</v>
      </c>
      <c r="J34" s="12">
        <v>896</v>
      </c>
      <c r="K34" s="12"/>
    </row>
    <row r="35" spans="2:11">
      <c r="B35" t="s">
        <v>118</v>
      </c>
      <c r="C35">
        <v>25</v>
      </c>
      <c r="D35">
        <v>604</v>
      </c>
      <c r="E35">
        <v>186.9</v>
      </c>
      <c r="F35">
        <v>186.9</v>
      </c>
      <c r="G35">
        <v>3</v>
      </c>
      <c r="H35">
        <v>1</v>
      </c>
      <c r="I35">
        <v>485</v>
      </c>
      <c r="J35">
        <v>223.9</v>
      </c>
    </row>
    <row r="36" spans="2:11">
      <c r="B36" t="s">
        <v>119</v>
      </c>
      <c r="C36">
        <v>25</v>
      </c>
      <c r="D36">
        <v>357</v>
      </c>
      <c r="E36">
        <v>191.3</v>
      </c>
      <c r="F36">
        <v>191.3</v>
      </c>
      <c r="G36">
        <v>3</v>
      </c>
      <c r="H36">
        <v>1</v>
      </c>
      <c r="I36">
        <v>531</v>
      </c>
      <c r="J36">
        <v>25.6</v>
      </c>
    </row>
    <row r="37" spans="2:11">
      <c r="B37" t="s">
        <v>119</v>
      </c>
      <c r="C37">
        <v>50</v>
      </c>
      <c r="D37">
        <v>1333</v>
      </c>
      <c r="E37">
        <v>362.4</v>
      </c>
      <c r="F37">
        <v>362.4</v>
      </c>
      <c r="G37">
        <v>5</v>
      </c>
      <c r="H37">
        <v>1</v>
      </c>
      <c r="I37">
        <v>1142</v>
      </c>
      <c r="J37">
        <v>99.1</v>
      </c>
    </row>
    <row r="38" spans="2:11">
      <c r="B38" t="s">
        <v>120</v>
      </c>
      <c r="C38">
        <v>25</v>
      </c>
      <c r="D38">
        <v>336</v>
      </c>
      <c r="E38">
        <v>191.3</v>
      </c>
      <c r="F38">
        <v>191.3</v>
      </c>
      <c r="G38">
        <v>3</v>
      </c>
      <c r="H38">
        <v>1</v>
      </c>
      <c r="I38">
        <v>447</v>
      </c>
      <c r="J38">
        <v>20.7</v>
      </c>
    </row>
    <row r="39" spans="2:11">
      <c r="B39" s="13" t="s">
        <v>120</v>
      </c>
      <c r="C39" s="13">
        <v>50</v>
      </c>
      <c r="D39" s="13">
        <v>1272</v>
      </c>
      <c r="E39" s="13">
        <v>362.4</v>
      </c>
      <c r="F39" s="13">
        <v>362.4</v>
      </c>
      <c r="G39" s="13">
        <v>5</v>
      </c>
      <c r="H39" s="13">
        <v>1</v>
      </c>
      <c r="I39" s="13">
        <v>1170</v>
      </c>
      <c r="J39" s="13">
        <v>91.3</v>
      </c>
      <c r="K39" s="13"/>
    </row>
    <row r="40" spans="2:11">
      <c r="B40" t="s">
        <v>120</v>
      </c>
      <c r="C40">
        <v>100</v>
      </c>
      <c r="D40">
        <v>5423</v>
      </c>
      <c r="E40">
        <v>827.3</v>
      </c>
      <c r="F40">
        <v>827.3</v>
      </c>
      <c r="G40">
        <v>10</v>
      </c>
      <c r="H40">
        <v>1</v>
      </c>
      <c r="I40">
        <v>3681</v>
      </c>
      <c r="J40">
        <v>724.8</v>
      </c>
    </row>
    <row r="41" spans="2:11">
      <c r="B41" t="s">
        <v>121</v>
      </c>
      <c r="C41">
        <v>25</v>
      </c>
      <c r="D41">
        <v>377</v>
      </c>
      <c r="E41">
        <v>191.3</v>
      </c>
      <c r="F41">
        <v>191.3</v>
      </c>
      <c r="G41">
        <v>3</v>
      </c>
      <c r="H41">
        <v>1</v>
      </c>
      <c r="I41">
        <v>514</v>
      </c>
      <c r="J41">
        <v>31.7</v>
      </c>
    </row>
    <row r="42" spans="2:11">
      <c r="B42" t="s">
        <v>121</v>
      </c>
      <c r="C42">
        <v>50</v>
      </c>
      <c r="D42">
        <v>1443</v>
      </c>
      <c r="E42">
        <v>362.4</v>
      </c>
      <c r="F42">
        <v>362.4</v>
      </c>
      <c r="G42">
        <v>5</v>
      </c>
      <c r="H42">
        <v>1</v>
      </c>
      <c r="I42">
        <v>1725</v>
      </c>
      <c r="J42">
        <v>170.6</v>
      </c>
    </row>
    <row r="43" spans="2:11">
      <c r="B43" t="s">
        <v>121</v>
      </c>
      <c r="C43">
        <v>100</v>
      </c>
      <c r="D43">
        <v>5621</v>
      </c>
      <c r="E43">
        <v>827.3</v>
      </c>
      <c r="F43">
        <v>827.3</v>
      </c>
      <c r="G43">
        <v>10</v>
      </c>
      <c r="H43">
        <v>1</v>
      </c>
      <c r="I43">
        <v>4970</v>
      </c>
      <c r="J43">
        <v>1010.4</v>
      </c>
    </row>
    <row r="44" spans="2:11">
      <c r="B44" t="s">
        <v>122</v>
      </c>
      <c r="C44">
        <v>25</v>
      </c>
      <c r="D44">
        <v>431</v>
      </c>
      <c r="E44">
        <v>191.3</v>
      </c>
      <c r="F44">
        <v>191.3</v>
      </c>
      <c r="G44">
        <v>3</v>
      </c>
      <c r="H44">
        <v>1</v>
      </c>
      <c r="I44">
        <v>513</v>
      </c>
      <c r="J44">
        <v>43.1</v>
      </c>
    </row>
    <row r="45" spans="2:11">
      <c r="B45" t="s">
        <v>122</v>
      </c>
      <c r="C45">
        <v>50</v>
      </c>
      <c r="D45">
        <v>1643</v>
      </c>
      <c r="E45">
        <v>362.4</v>
      </c>
      <c r="F45">
        <v>362.4</v>
      </c>
      <c r="G45">
        <v>5</v>
      </c>
      <c r="H45">
        <v>1</v>
      </c>
      <c r="I45">
        <v>1605</v>
      </c>
      <c r="J45">
        <v>245.6</v>
      </c>
    </row>
    <row r="46" spans="2:11">
      <c r="B46" s="14" t="s">
        <v>122</v>
      </c>
      <c r="C46" s="14">
        <v>100</v>
      </c>
      <c r="D46" s="14">
        <v>6344</v>
      </c>
      <c r="E46" s="14">
        <v>827.3</v>
      </c>
      <c r="F46" s="14">
        <v>827.3</v>
      </c>
      <c r="G46" s="14">
        <v>10</v>
      </c>
      <c r="H46" s="14">
        <v>1</v>
      </c>
      <c r="I46" s="14">
        <v>4989</v>
      </c>
      <c r="J46" s="14">
        <v>1613.6</v>
      </c>
      <c r="K46" s="14"/>
    </row>
    <row r="47" spans="2:11">
      <c r="B47" t="s">
        <v>123</v>
      </c>
      <c r="C47">
        <v>25</v>
      </c>
      <c r="D47">
        <v>482</v>
      </c>
      <c r="E47">
        <v>189.4</v>
      </c>
      <c r="F47">
        <v>191.3</v>
      </c>
      <c r="G47">
        <v>3</v>
      </c>
      <c r="H47">
        <v>3</v>
      </c>
      <c r="I47">
        <v>1747</v>
      </c>
      <c r="J47">
        <v>585.4</v>
      </c>
    </row>
    <row r="49" spans="2:10">
      <c r="B49" t="s">
        <v>124</v>
      </c>
      <c r="C49">
        <v>25</v>
      </c>
      <c r="D49">
        <v>277</v>
      </c>
      <c r="E49">
        <v>405.1</v>
      </c>
      <c r="F49">
        <v>461.1</v>
      </c>
      <c r="G49">
        <v>4</v>
      </c>
      <c r="H49">
        <v>99</v>
      </c>
      <c r="I49">
        <v>6399</v>
      </c>
      <c r="J49">
        <v>225.4</v>
      </c>
    </row>
    <row r="50" spans="2:10">
      <c r="B50" t="s">
        <v>125</v>
      </c>
      <c r="C50">
        <v>25</v>
      </c>
      <c r="D50">
        <v>408</v>
      </c>
      <c r="E50">
        <v>346</v>
      </c>
      <c r="F50">
        <v>346</v>
      </c>
      <c r="G50">
        <v>3</v>
      </c>
      <c r="H50">
        <v>1</v>
      </c>
      <c r="I50">
        <v>255</v>
      </c>
      <c r="J50">
        <v>18.100000000000001</v>
      </c>
    </row>
    <row r="51" spans="2:10">
      <c r="B51" t="s">
        <v>126</v>
      </c>
      <c r="C51">
        <v>25</v>
      </c>
      <c r="D51">
        <v>518</v>
      </c>
      <c r="E51">
        <v>332.1</v>
      </c>
      <c r="F51">
        <v>332.8</v>
      </c>
      <c r="G51">
        <v>3</v>
      </c>
      <c r="H51">
        <v>5</v>
      </c>
      <c r="I51">
        <v>953</v>
      </c>
      <c r="J51">
        <v>103</v>
      </c>
    </row>
    <row r="52" spans="2:10">
      <c r="B52" t="s">
        <v>127</v>
      </c>
      <c r="C52">
        <v>25</v>
      </c>
      <c r="D52">
        <v>564</v>
      </c>
      <c r="E52">
        <v>305.89999999999998</v>
      </c>
      <c r="F52">
        <v>306.60000000000002</v>
      </c>
      <c r="G52">
        <v>3</v>
      </c>
      <c r="H52">
        <v>6</v>
      </c>
      <c r="I52">
        <v>1273</v>
      </c>
      <c r="J52">
        <v>177.9</v>
      </c>
    </row>
    <row r="53" spans="2:10">
      <c r="B53" t="s">
        <v>128</v>
      </c>
      <c r="C53">
        <v>25</v>
      </c>
      <c r="D53">
        <v>372</v>
      </c>
      <c r="E53">
        <v>411</v>
      </c>
      <c r="F53">
        <v>411.3</v>
      </c>
      <c r="G53">
        <v>4</v>
      </c>
      <c r="H53">
        <v>5</v>
      </c>
      <c r="I53">
        <v>488</v>
      </c>
      <c r="J53">
        <v>37.4</v>
      </c>
    </row>
    <row r="54" spans="2:10">
      <c r="B54" t="s">
        <v>129</v>
      </c>
      <c r="C54">
        <v>25</v>
      </c>
      <c r="D54">
        <v>388</v>
      </c>
      <c r="E54">
        <v>338.3</v>
      </c>
      <c r="F54">
        <v>345.5</v>
      </c>
      <c r="G54">
        <v>3</v>
      </c>
      <c r="H54">
        <v>27</v>
      </c>
      <c r="I54">
        <v>2064</v>
      </c>
      <c r="J54">
        <v>248.4</v>
      </c>
    </row>
    <row r="55" spans="2:10">
      <c r="B55" t="s">
        <v>130</v>
      </c>
      <c r="C55">
        <v>25</v>
      </c>
      <c r="D55">
        <v>513</v>
      </c>
      <c r="E55">
        <v>293.3</v>
      </c>
      <c r="F55">
        <v>298.3</v>
      </c>
      <c r="G55">
        <v>3</v>
      </c>
      <c r="H55">
        <v>3</v>
      </c>
      <c r="I55">
        <v>473</v>
      </c>
      <c r="J55">
        <v>113.9</v>
      </c>
    </row>
    <row r="56" spans="2:10">
      <c r="B56" t="s">
        <v>131</v>
      </c>
      <c r="C56">
        <v>25</v>
      </c>
      <c r="D56">
        <v>617</v>
      </c>
      <c r="E56">
        <v>280.3</v>
      </c>
      <c r="F56">
        <v>294.5</v>
      </c>
      <c r="G56">
        <v>3</v>
      </c>
      <c r="H56">
        <v>11</v>
      </c>
      <c r="I56">
        <v>1126</v>
      </c>
      <c r="J56">
        <v>256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16565-2D26-423E-BEB3-700DC993A6AB}">
  <sheetPr codeName="Planilha6"/>
  <dimension ref="A1:V32"/>
  <sheetViews>
    <sheetView zoomScale="70" zoomScaleNormal="70" workbookViewId="0">
      <selection activeCell="E3" sqref="E3"/>
    </sheetView>
  </sheetViews>
  <sheetFormatPr defaultRowHeight="14.4"/>
  <cols>
    <col min="2" max="2" width="15.109375" customWidth="1"/>
    <col min="9" max="9" width="12" bestFit="1" customWidth="1"/>
  </cols>
  <sheetData>
    <row r="1" spans="1:15">
      <c r="A1" t="s">
        <v>248</v>
      </c>
      <c r="B1" t="s">
        <v>249</v>
      </c>
      <c r="C1" t="s">
        <v>250</v>
      </c>
      <c r="D1" t="s">
        <v>251</v>
      </c>
      <c r="E1" t="s">
        <v>252</v>
      </c>
      <c r="F1" s="50" t="s">
        <v>484</v>
      </c>
      <c r="H1" t="s">
        <v>255</v>
      </c>
      <c r="I1" s="50" t="s">
        <v>256</v>
      </c>
    </row>
    <row r="2" spans="1:15">
      <c r="A2" t="s">
        <v>257</v>
      </c>
      <c r="B2">
        <v>290.10000000000002</v>
      </c>
      <c r="C2">
        <v>290.10000000000002</v>
      </c>
      <c r="D2">
        <v>3605.002</v>
      </c>
      <c r="E2">
        <v>3637.509</v>
      </c>
      <c r="F2" s="68">
        <f>(B2-C2)/B2</f>
        <v>0</v>
      </c>
      <c r="H2">
        <v>0</v>
      </c>
      <c r="I2" s="68">
        <f>(E2-D2)/D2</f>
        <v>9.0171933330411638E-3</v>
      </c>
      <c r="N2" t="s">
        <v>482</v>
      </c>
      <c r="O2" t="s">
        <v>483</v>
      </c>
    </row>
    <row r="3" spans="1:15">
      <c r="A3" t="s">
        <v>258</v>
      </c>
      <c r="B3">
        <v>321.10000000000002</v>
      </c>
      <c r="C3">
        <v>280</v>
      </c>
      <c r="D3">
        <v>3637.509</v>
      </c>
      <c r="E3">
        <v>4375.8422</v>
      </c>
      <c r="F3" s="68">
        <f t="shared" ref="F3:F8" si="0">(B3-C3)/B3</f>
        <v>0.12799750856431025</v>
      </c>
      <c r="H3">
        <v>0.127998</v>
      </c>
      <c r="I3" s="68">
        <f t="shared" ref="I3:I8" si="1">(E3-D3)/D3</f>
        <v>0.20297769709985597</v>
      </c>
      <c r="N3">
        <v>260</v>
      </c>
      <c r="O3">
        <v>260</v>
      </c>
    </row>
    <row r="4" spans="1:15">
      <c r="A4" t="s">
        <v>259</v>
      </c>
      <c r="B4">
        <v>291.7</v>
      </c>
      <c r="C4">
        <v>269</v>
      </c>
      <c r="D4">
        <v>3607.7972</v>
      </c>
      <c r="E4">
        <v>3675.0828999999999</v>
      </c>
      <c r="F4" s="68">
        <f t="shared" si="0"/>
        <v>7.7819677751114119E-2</v>
      </c>
      <c r="H4">
        <v>7.782E-2</v>
      </c>
      <c r="I4" s="68">
        <f t="shared" si="1"/>
        <v>1.865007822501772E-2</v>
      </c>
      <c r="N4">
        <v>330</v>
      </c>
      <c r="O4">
        <v>330</v>
      </c>
    </row>
    <row r="5" spans="1:15">
      <c r="A5" t="s">
        <v>260</v>
      </c>
      <c r="B5">
        <v>328.8</v>
      </c>
      <c r="C5">
        <v>277.7</v>
      </c>
      <c r="D5">
        <v>3618.3038000000001</v>
      </c>
      <c r="E5">
        <v>3885.1981000000001</v>
      </c>
      <c r="F5" s="68">
        <f t="shared" si="0"/>
        <v>0.15541362530413633</v>
      </c>
      <c r="H5">
        <v>0.155414</v>
      </c>
      <c r="I5" s="68">
        <f t="shared" si="1"/>
        <v>7.3762269492130522E-2</v>
      </c>
    </row>
    <row r="6" spans="1:15">
      <c r="A6" t="s">
        <v>261</v>
      </c>
      <c r="B6">
        <v>274</v>
      </c>
      <c r="C6">
        <v>272.7</v>
      </c>
      <c r="D6">
        <v>3634.4701</v>
      </c>
      <c r="E6">
        <v>3653.6028999999999</v>
      </c>
      <c r="F6" s="68">
        <f t="shared" si="0"/>
        <v>4.7445255474452969E-3</v>
      </c>
      <c r="H6">
        <v>4.7450000000000001E-3</v>
      </c>
      <c r="I6" s="68">
        <f t="shared" si="1"/>
        <v>5.2642612192627097E-3</v>
      </c>
    </row>
    <row r="7" spans="1:15">
      <c r="A7" t="s">
        <v>262</v>
      </c>
      <c r="B7">
        <v>268.7</v>
      </c>
      <c r="C7">
        <v>268.7</v>
      </c>
      <c r="D7">
        <v>3661.5070000000001</v>
      </c>
      <c r="E7">
        <v>3855.4402</v>
      </c>
      <c r="F7" s="68">
        <f t="shared" si="0"/>
        <v>0</v>
      </c>
      <c r="H7">
        <v>0</v>
      </c>
      <c r="I7" s="68">
        <f t="shared" si="1"/>
        <v>5.296540468173349E-2</v>
      </c>
    </row>
    <row r="8" spans="1:15" ht="15" thickBot="1">
      <c r="A8" t="s">
        <v>263</v>
      </c>
      <c r="B8">
        <v>266.2</v>
      </c>
      <c r="C8">
        <v>264.2</v>
      </c>
      <c r="D8">
        <v>3770.1239999999998</v>
      </c>
      <c r="E8">
        <v>3673.9272999999998</v>
      </c>
      <c r="F8" s="69">
        <f t="shared" si="0"/>
        <v>7.5131480090157776E-3</v>
      </c>
      <c r="H8">
        <v>7.5129999999999997E-3</v>
      </c>
      <c r="I8" s="69">
        <f t="shared" si="1"/>
        <v>-2.5515526810258753E-2</v>
      </c>
    </row>
    <row r="11" spans="1:15">
      <c r="B11" t="s">
        <v>155</v>
      </c>
      <c r="C11" t="s">
        <v>43</v>
      </c>
      <c r="D11" t="s">
        <v>44</v>
      </c>
      <c r="E11" t="s">
        <v>45</v>
      </c>
      <c r="F11" t="s">
        <v>46</v>
      </c>
      <c r="G11" t="s">
        <v>47</v>
      </c>
      <c r="H11" t="s">
        <v>48</v>
      </c>
      <c r="I11" t="s">
        <v>49</v>
      </c>
    </row>
    <row r="12" spans="1:15">
      <c r="A12" s="14" t="s">
        <v>0</v>
      </c>
      <c r="B12" s="14" t="s">
        <v>64</v>
      </c>
      <c r="C12" s="15">
        <v>3605.2732999999998</v>
      </c>
      <c r="D12" s="16" t="s">
        <v>191</v>
      </c>
      <c r="E12" s="16" t="s">
        <v>192</v>
      </c>
      <c r="F12" s="14">
        <v>3.7848999999999999</v>
      </c>
      <c r="G12" s="14">
        <v>0</v>
      </c>
      <c r="H12" s="17">
        <v>212</v>
      </c>
      <c r="I12" s="17">
        <v>5661</v>
      </c>
    </row>
    <row r="13" spans="1:15">
      <c r="A13" s="26" t="s">
        <v>0</v>
      </c>
      <c r="B13" s="26" t="s">
        <v>59</v>
      </c>
      <c r="C13" s="27">
        <v>3647.1527000000001</v>
      </c>
      <c r="D13" s="27" t="s">
        <v>194</v>
      </c>
      <c r="E13" s="27" t="s">
        <v>195</v>
      </c>
      <c r="F13" s="26">
        <v>12.990600000000001</v>
      </c>
      <c r="G13" s="26">
        <v>0</v>
      </c>
      <c r="H13" s="27">
        <v>165</v>
      </c>
      <c r="I13" s="27">
        <v>5613</v>
      </c>
    </row>
    <row r="14" spans="1:15">
      <c r="A14" t="s">
        <v>0</v>
      </c>
      <c r="B14" t="s">
        <v>70</v>
      </c>
      <c r="C14" s="15">
        <v>3715.3123999999998</v>
      </c>
      <c r="D14" s="16" t="s">
        <v>191</v>
      </c>
      <c r="E14" s="16" t="s">
        <v>198</v>
      </c>
      <c r="F14">
        <v>3.2025999999999999</v>
      </c>
      <c r="G14">
        <v>0</v>
      </c>
      <c r="H14" s="17">
        <v>40</v>
      </c>
      <c r="I14" s="17">
        <v>5499</v>
      </c>
    </row>
    <row r="15" spans="1:15">
      <c r="A15" t="s">
        <v>0</v>
      </c>
      <c r="B15" t="s">
        <v>81</v>
      </c>
      <c r="C15" s="15">
        <v>3622.8786</v>
      </c>
      <c r="D15" s="16" t="s">
        <v>201</v>
      </c>
      <c r="E15" s="16" t="s">
        <v>202</v>
      </c>
      <c r="F15">
        <v>8.5396999999999998</v>
      </c>
      <c r="G15">
        <v>0</v>
      </c>
      <c r="H15" s="17">
        <v>727</v>
      </c>
      <c r="I15" s="17">
        <v>6333</v>
      </c>
    </row>
    <row r="16" spans="1:15">
      <c r="A16" t="s">
        <v>0</v>
      </c>
      <c r="B16" t="s">
        <v>82</v>
      </c>
      <c r="C16" s="15">
        <v>3600.2022000000002</v>
      </c>
      <c r="D16" s="16" t="s">
        <v>191</v>
      </c>
      <c r="E16" s="16" t="s">
        <v>205</v>
      </c>
      <c r="F16">
        <v>4.8151000000000002</v>
      </c>
      <c r="G16">
        <v>0</v>
      </c>
      <c r="H16" s="17">
        <v>252</v>
      </c>
      <c r="I16" s="17">
        <v>4818</v>
      </c>
    </row>
    <row r="17" spans="1:22">
      <c r="A17" t="s">
        <v>0</v>
      </c>
      <c r="B17" t="s">
        <v>85</v>
      </c>
      <c r="C17" s="15">
        <v>3616.8991000000001</v>
      </c>
      <c r="D17" s="16" t="s">
        <v>207</v>
      </c>
      <c r="E17" s="16" t="s">
        <v>208</v>
      </c>
      <c r="F17">
        <v>4.4718999999999998</v>
      </c>
      <c r="G17">
        <v>0</v>
      </c>
      <c r="H17" s="17">
        <v>51</v>
      </c>
      <c r="I17" s="17">
        <v>1425</v>
      </c>
    </row>
    <row r="18" spans="1:22">
      <c r="A18" t="s">
        <v>0</v>
      </c>
      <c r="B18" t="s">
        <v>88</v>
      </c>
      <c r="C18" s="15">
        <v>3632.0882999999999</v>
      </c>
      <c r="D18" s="16" t="s">
        <v>210</v>
      </c>
      <c r="E18" s="16" t="s">
        <v>211</v>
      </c>
      <c r="F18">
        <v>0.78559999999999997</v>
      </c>
      <c r="G18">
        <v>0</v>
      </c>
      <c r="H18" s="17">
        <v>59</v>
      </c>
      <c r="I18" s="17">
        <v>2862</v>
      </c>
    </row>
    <row r="19" spans="1:22">
      <c r="A19" t="s">
        <v>0</v>
      </c>
      <c r="B19" t="s">
        <v>91</v>
      </c>
      <c r="C19" s="15">
        <v>3738.8139999999999</v>
      </c>
      <c r="D19" s="16" t="s">
        <v>213</v>
      </c>
      <c r="E19" s="16" t="s">
        <v>213</v>
      </c>
      <c r="F19">
        <v>0</v>
      </c>
      <c r="G19">
        <v>1</v>
      </c>
      <c r="H19" s="17">
        <v>136</v>
      </c>
      <c r="I19" s="17">
        <v>2850</v>
      </c>
    </row>
    <row r="25" spans="1:22">
      <c r="J25" s="14"/>
      <c r="K25" s="14"/>
      <c r="L25" s="14"/>
      <c r="T25" s="14"/>
      <c r="U25" s="14"/>
      <c r="V25" s="23"/>
    </row>
    <row r="26" spans="1:22" s="26" customFormat="1">
      <c r="V26" s="28"/>
    </row>
    <row r="27" spans="1:22">
      <c r="V27" s="2"/>
    </row>
    <row r="28" spans="1:22">
      <c r="V28" s="2"/>
    </row>
    <row r="29" spans="1:22">
      <c r="V29" s="2"/>
    </row>
    <row r="30" spans="1:22">
      <c r="V30" s="2"/>
    </row>
    <row r="31" spans="1:22">
      <c r="V31" s="2"/>
    </row>
    <row r="32" spans="1:22">
      <c r="V32" s="2"/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161CD-62B3-422D-8376-4D4A1EC590F0}">
  <sheetPr codeName="Planilha12"/>
  <dimension ref="A1:H657"/>
  <sheetViews>
    <sheetView zoomScale="70" zoomScaleNormal="70" workbookViewId="0">
      <selection activeCell="G14" sqref="G14"/>
    </sheetView>
  </sheetViews>
  <sheetFormatPr defaultRowHeight="14.4"/>
  <cols>
    <col min="1" max="1" width="19.77734375" bestFit="1" customWidth="1"/>
    <col min="2" max="2" width="3" bestFit="1" customWidth="1"/>
    <col min="3" max="3" width="6.33203125" bestFit="1" customWidth="1"/>
    <col min="4" max="4" width="10" bestFit="1" customWidth="1"/>
    <col min="5" max="5" width="4.21875" bestFit="1" customWidth="1"/>
    <col min="6" max="6" width="4" bestFit="1" customWidth="1"/>
    <col min="7" max="7" width="10" bestFit="1" customWidth="1"/>
    <col min="8" max="8" width="27.5546875" bestFit="1" customWidth="1"/>
  </cols>
  <sheetData>
    <row r="1" spans="1:8" s="61" customFormat="1">
      <c r="A1" s="61" t="s">
        <v>351</v>
      </c>
      <c r="B1" s="61" t="s">
        <v>352</v>
      </c>
      <c r="C1" s="61" t="s">
        <v>353</v>
      </c>
      <c r="D1" s="61" t="s">
        <v>349</v>
      </c>
      <c r="E1" s="61" t="s">
        <v>354</v>
      </c>
      <c r="F1" s="61" t="s">
        <v>355</v>
      </c>
      <c r="G1" s="61" t="s">
        <v>356</v>
      </c>
      <c r="H1" s="61" t="s">
        <v>357</v>
      </c>
    </row>
    <row r="2" spans="1:8">
      <c r="A2" t="s">
        <v>358</v>
      </c>
      <c r="B2">
        <v>0</v>
      </c>
      <c r="C2">
        <v>99</v>
      </c>
      <c r="D2">
        <v>785</v>
      </c>
      <c r="E2">
        <v>0</v>
      </c>
      <c r="F2">
        <v>52</v>
      </c>
      <c r="G2">
        <v>97</v>
      </c>
      <c r="H2" t="s">
        <v>359</v>
      </c>
    </row>
    <row r="3" spans="1:8">
      <c r="A3" t="s">
        <v>358</v>
      </c>
      <c r="B3">
        <v>0</v>
      </c>
      <c r="C3">
        <v>99</v>
      </c>
      <c r="D3">
        <v>785</v>
      </c>
      <c r="E3">
        <v>1</v>
      </c>
      <c r="F3">
        <v>91</v>
      </c>
      <c r="G3">
        <v>70</v>
      </c>
      <c r="H3" t="s">
        <v>360</v>
      </c>
    </row>
    <row r="4" spans="1:8">
      <c r="A4" t="s">
        <v>358</v>
      </c>
      <c r="B4">
        <v>0</v>
      </c>
      <c r="C4">
        <v>99</v>
      </c>
      <c r="D4">
        <v>785</v>
      </c>
      <c r="E4">
        <v>2</v>
      </c>
      <c r="F4">
        <v>73</v>
      </c>
      <c r="G4">
        <v>83</v>
      </c>
      <c r="H4" t="s">
        <v>361</v>
      </c>
    </row>
    <row r="5" spans="1:8">
      <c r="A5" t="s">
        <v>358</v>
      </c>
      <c r="B5">
        <v>0</v>
      </c>
      <c r="C5">
        <v>99</v>
      </c>
      <c r="D5">
        <v>785</v>
      </c>
      <c r="E5">
        <v>3</v>
      </c>
      <c r="F5">
        <v>12</v>
      </c>
      <c r="G5">
        <v>101</v>
      </c>
      <c r="H5" t="s">
        <v>362</v>
      </c>
    </row>
    <row r="6" spans="1:8">
      <c r="A6" t="s">
        <v>358</v>
      </c>
      <c r="B6">
        <v>0</v>
      </c>
      <c r="C6">
        <v>99</v>
      </c>
      <c r="D6">
        <v>785</v>
      </c>
      <c r="E6">
        <v>4</v>
      </c>
      <c r="F6">
        <v>43</v>
      </c>
      <c r="G6">
        <v>80</v>
      </c>
      <c r="H6" t="s">
        <v>363</v>
      </c>
    </row>
    <row r="7" spans="1:8">
      <c r="A7" t="s">
        <v>358</v>
      </c>
      <c r="B7">
        <v>0</v>
      </c>
      <c r="C7">
        <v>99</v>
      </c>
      <c r="D7">
        <v>785</v>
      </c>
      <c r="E7">
        <v>5</v>
      </c>
      <c r="F7">
        <v>38</v>
      </c>
      <c r="G7">
        <v>113</v>
      </c>
      <c r="H7" t="s">
        <v>364</v>
      </c>
    </row>
    <row r="8" spans="1:8">
      <c r="A8" t="s">
        <v>358</v>
      </c>
      <c r="B8">
        <v>0</v>
      </c>
      <c r="C8">
        <v>99</v>
      </c>
      <c r="D8">
        <v>785</v>
      </c>
      <c r="E8">
        <v>6</v>
      </c>
      <c r="F8">
        <v>94</v>
      </c>
      <c r="G8">
        <v>98</v>
      </c>
      <c r="H8" t="s">
        <v>365</v>
      </c>
    </row>
    <row r="9" spans="1:8">
      <c r="A9" t="s">
        <v>358</v>
      </c>
      <c r="B9">
        <v>0</v>
      </c>
      <c r="C9">
        <v>99</v>
      </c>
      <c r="D9">
        <v>785</v>
      </c>
      <c r="E9">
        <v>7</v>
      </c>
      <c r="F9">
        <v>47</v>
      </c>
      <c r="G9">
        <v>140</v>
      </c>
      <c r="H9" t="s">
        <v>366</v>
      </c>
    </row>
    <row r="10" spans="1:8">
      <c r="A10" t="s">
        <v>358</v>
      </c>
      <c r="B10">
        <v>0</v>
      </c>
      <c r="C10">
        <v>119</v>
      </c>
      <c r="D10">
        <v>656</v>
      </c>
      <c r="E10">
        <v>0</v>
      </c>
      <c r="F10">
        <v>92</v>
      </c>
      <c r="G10">
        <v>121</v>
      </c>
      <c r="H10" t="s">
        <v>367</v>
      </c>
    </row>
    <row r="11" spans="1:8">
      <c r="A11" t="s">
        <v>358</v>
      </c>
      <c r="B11">
        <v>0</v>
      </c>
      <c r="C11">
        <v>119</v>
      </c>
      <c r="D11">
        <v>656</v>
      </c>
      <c r="E11">
        <v>1</v>
      </c>
      <c r="F11">
        <v>49</v>
      </c>
      <c r="G11">
        <v>99</v>
      </c>
      <c r="H11" t="s">
        <v>368</v>
      </c>
    </row>
    <row r="12" spans="1:8">
      <c r="A12" t="s">
        <v>358</v>
      </c>
      <c r="B12">
        <v>0</v>
      </c>
      <c r="C12">
        <v>119</v>
      </c>
      <c r="D12">
        <v>656</v>
      </c>
      <c r="E12">
        <v>2</v>
      </c>
      <c r="F12">
        <v>73</v>
      </c>
      <c r="G12">
        <v>83</v>
      </c>
      <c r="H12" t="s">
        <v>361</v>
      </c>
    </row>
    <row r="13" spans="1:8">
      <c r="A13" t="s">
        <v>358</v>
      </c>
      <c r="B13">
        <v>0</v>
      </c>
      <c r="C13">
        <v>119</v>
      </c>
      <c r="D13">
        <v>656</v>
      </c>
      <c r="E13">
        <v>3</v>
      </c>
      <c r="F13">
        <v>95</v>
      </c>
      <c r="G13">
        <v>79</v>
      </c>
      <c r="H13" t="s">
        <v>369</v>
      </c>
    </row>
    <row r="14" spans="1:8">
      <c r="A14" t="s">
        <v>358</v>
      </c>
      <c r="B14">
        <v>0</v>
      </c>
      <c r="C14">
        <v>119</v>
      </c>
      <c r="D14">
        <v>656</v>
      </c>
      <c r="E14">
        <v>4</v>
      </c>
      <c r="F14">
        <v>111</v>
      </c>
      <c r="G14">
        <v>58</v>
      </c>
      <c r="H14" t="s">
        <v>370</v>
      </c>
    </row>
    <row r="15" spans="1:8">
      <c r="A15" t="s">
        <v>358</v>
      </c>
      <c r="B15">
        <v>0</v>
      </c>
      <c r="C15">
        <v>119</v>
      </c>
      <c r="D15">
        <v>656</v>
      </c>
      <c r="E15">
        <v>5</v>
      </c>
      <c r="F15">
        <v>61</v>
      </c>
      <c r="G15">
        <v>31</v>
      </c>
      <c r="H15" t="s">
        <v>371</v>
      </c>
    </row>
    <row r="16" spans="1:8">
      <c r="A16" t="s">
        <v>358</v>
      </c>
      <c r="B16">
        <v>0</v>
      </c>
      <c r="C16">
        <v>119</v>
      </c>
      <c r="D16">
        <v>656</v>
      </c>
      <c r="E16">
        <v>6</v>
      </c>
      <c r="F16">
        <v>102</v>
      </c>
      <c r="G16">
        <v>86</v>
      </c>
      <c r="H16" t="s">
        <v>372</v>
      </c>
    </row>
    <row r="17" spans="1:8">
      <c r="A17" t="s">
        <v>358</v>
      </c>
      <c r="B17">
        <v>0</v>
      </c>
      <c r="C17">
        <v>119</v>
      </c>
      <c r="D17">
        <v>656</v>
      </c>
      <c r="E17">
        <v>7</v>
      </c>
      <c r="F17">
        <v>119</v>
      </c>
      <c r="G17">
        <v>97</v>
      </c>
      <c r="H17" t="s">
        <v>373</v>
      </c>
    </row>
    <row r="18" spans="1:8">
      <c r="A18" t="s">
        <v>358</v>
      </c>
      <c r="B18">
        <v>0</v>
      </c>
      <c r="C18">
        <v>139</v>
      </c>
      <c r="D18">
        <v>628</v>
      </c>
      <c r="E18">
        <v>0</v>
      </c>
      <c r="F18">
        <v>73</v>
      </c>
      <c r="G18">
        <v>83</v>
      </c>
      <c r="H18" t="s">
        <v>361</v>
      </c>
    </row>
    <row r="19" spans="1:8">
      <c r="A19" t="s">
        <v>358</v>
      </c>
      <c r="B19">
        <v>0</v>
      </c>
      <c r="C19">
        <v>139</v>
      </c>
      <c r="D19">
        <v>628</v>
      </c>
      <c r="E19">
        <v>1</v>
      </c>
      <c r="F19">
        <v>81</v>
      </c>
      <c r="G19">
        <v>77</v>
      </c>
      <c r="H19" t="s">
        <v>374</v>
      </c>
    </row>
    <row r="20" spans="1:8">
      <c r="A20" t="s">
        <v>358</v>
      </c>
      <c r="B20">
        <v>0</v>
      </c>
      <c r="C20">
        <v>139</v>
      </c>
      <c r="D20">
        <v>628</v>
      </c>
      <c r="E20">
        <v>2</v>
      </c>
      <c r="F20">
        <v>137</v>
      </c>
      <c r="G20">
        <v>78</v>
      </c>
      <c r="H20" t="s">
        <v>375</v>
      </c>
    </row>
    <row r="21" spans="1:8">
      <c r="A21" t="s">
        <v>358</v>
      </c>
      <c r="B21">
        <v>0</v>
      </c>
      <c r="C21">
        <v>139</v>
      </c>
      <c r="D21">
        <v>628</v>
      </c>
      <c r="E21">
        <v>3</v>
      </c>
      <c r="F21">
        <v>141</v>
      </c>
      <c r="G21">
        <v>104</v>
      </c>
      <c r="H21" t="s">
        <v>376</v>
      </c>
    </row>
    <row r="22" spans="1:8">
      <c r="A22" t="s">
        <v>358</v>
      </c>
      <c r="B22">
        <v>0</v>
      </c>
      <c r="C22">
        <v>139</v>
      </c>
      <c r="D22">
        <v>628</v>
      </c>
      <c r="E22">
        <v>4</v>
      </c>
      <c r="F22">
        <v>105</v>
      </c>
      <c r="G22">
        <v>67</v>
      </c>
      <c r="H22" t="s">
        <v>377</v>
      </c>
    </row>
    <row r="23" spans="1:8">
      <c r="A23" t="s">
        <v>358</v>
      </c>
      <c r="B23">
        <v>0</v>
      </c>
      <c r="C23">
        <v>139</v>
      </c>
      <c r="D23">
        <v>628</v>
      </c>
      <c r="E23">
        <v>5</v>
      </c>
      <c r="F23">
        <v>102</v>
      </c>
      <c r="G23">
        <v>86</v>
      </c>
      <c r="H23" t="s">
        <v>372</v>
      </c>
    </row>
    <row r="24" spans="1:8">
      <c r="A24" t="s">
        <v>358</v>
      </c>
      <c r="B24">
        <v>0</v>
      </c>
      <c r="C24">
        <v>139</v>
      </c>
      <c r="D24">
        <v>628</v>
      </c>
      <c r="E24">
        <v>6</v>
      </c>
      <c r="F24">
        <v>61</v>
      </c>
      <c r="G24">
        <v>31</v>
      </c>
      <c r="H24" t="s">
        <v>371</v>
      </c>
    </row>
    <row r="25" spans="1:8">
      <c r="A25" t="s">
        <v>358</v>
      </c>
      <c r="B25">
        <v>0</v>
      </c>
      <c r="C25">
        <v>139</v>
      </c>
      <c r="D25">
        <v>628</v>
      </c>
      <c r="E25">
        <v>7</v>
      </c>
      <c r="F25">
        <v>49</v>
      </c>
      <c r="G25">
        <v>99</v>
      </c>
      <c r="H25" t="s">
        <v>368</v>
      </c>
    </row>
    <row r="26" spans="1:8">
      <c r="A26" t="s">
        <v>358</v>
      </c>
      <c r="B26">
        <v>0</v>
      </c>
      <c r="C26">
        <v>99</v>
      </c>
      <c r="D26">
        <v>785</v>
      </c>
      <c r="E26">
        <v>0</v>
      </c>
      <c r="F26">
        <v>52</v>
      </c>
      <c r="G26">
        <v>97</v>
      </c>
      <c r="H26" t="s">
        <v>359</v>
      </c>
    </row>
    <row r="27" spans="1:8">
      <c r="A27" t="s">
        <v>358</v>
      </c>
      <c r="B27">
        <v>0</v>
      </c>
      <c r="C27">
        <v>99</v>
      </c>
      <c r="D27">
        <v>785</v>
      </c>
      <c r="E27">
        <v>1</v>
      </c>
      <c r="F27">
        <v>91</v>
      </c>
      <c r="G27">
        <v>70</v>
      </c>
      <c r="H27" t="s">
        <v>360</v>
      </c>
    </row>
    <row r="28" spans="1:8">
      <c r="A28" t="s">
        <v>358</v>
      </c>
      <c r="B28">
        <v>0</v>
      </c>
      <c r="C28">
        <v>99</v>
      </c>
      <c r="D28">
        <v>785</v>
      </c>
      <c r="E28">
        <v>2</v>
      </c>
      <c r="F28">
        <v>73</v>
      </c>
      <c r="G28">
        <v>83</v>
      </c>
      <c r="H28" t="s">
        <v>361</v>
      </c>
    </row>
    <row r="29" spans="1:8">
      <c r="A29" t="s">
        <v>358</v>
      </c>
      <c r="B29">
        <v>0</v>
      </c>
      <c r="C29">
        <v>99</v>
      </c>
      <c r="D29">
        <v>785</v>
      </c>
      <c r="E29">
        <v>3</v>
      </c>
      <c r="F29">
        <v>12</v>
      </c>
      <c r="G29">
        <v>101</v>
      </c>
      <c r="H29" t="s">
        <v>362</v>
      </c>
    </row>
    <row r="30" spans="1:8">
      <c r="A30" t="s">
        <v>358</v>
      </c>
      <c r="B30">
        <v>0</v>
      </c>
      <c r="C30">
        <v>99</v>
      </c>
      <c r="D30">
        <v>785</v>
      </c>
      <c r="E30">
        <v>4</v>
      </c>
      <c r="F30">
        <v>43</v>
      </c>
      <c r="G30">
        <v>80</v>
      </c>
      <c r="H30" t="s">
        <v>363</v>
      </c>
    </row>
    <row r="31" spans="1:8">
      <c r="A31" t="s">
        <v>358</v>
      </c>
      <c r="B31">
        <v>0</v>
      </c>
      <c r="C31">
        <v>99</v>
      </c>
      <c r="D31">
        <v>785</v>
      </c>
      <c r="E31">
        <v>5</v>
      </c>
      <c r="F31">
        <v>38</v>
      </c>
      <c r="G31">
        <v>113</v>
      </c>
      <c r="H31" t="s">
        <v>364</v>
      </c>
    </row>
    <row r="32" spans="1:8">
      <c r="A32" t="s">
        <v>358</v>
      </c>
      <c r="B32">
        <v>0</v>
      </c>
      <c r="C32">
        <v>99</v>
      </c>
      <c r="D32">
        <v>785</v>
      </c>
      <c r="E32">
        <v>6</v>
      </c>
      <c r="F32">
        <v>94</v>
      </c>
      <c r="G32">
        <v>98</v>
      </c>
      <c r="H32" t="s">
        <v>365</v>
      </c>
    </row>
    <row r="33" spans="1:8">
      <c r="A33" t="s">
        <v>358</v>
      </c>
      <c r="B33">
        <v>0</v>
      </c>
      <c r="C33">
        <v>99</v>
      </c>
      <c r="D33">
        <v>785</v>
      </c>
      <c r="E33">
        <v>7</v>
      </c>
      <c r="F33">
        <v>47</v>
      </c>
      <c r="G33">
        <v>140</v>
      </c>
      <c r="H33" t="s">
        <v>366</v>
      </c>
    </row>
    <row r="34" spans="1:8">
      <c r="A34" t="s">
        <v>358</v>
      </c>
      <c r="B34">
        <v>0</v>
      </c>
      <c r="C34">
        <v>119</v>
      </c>
      <c r="D34">
        <v>656</v>
      </c>
      <c r="E34">
        <v>0</v>
      </c>
      <c r="F34">
        <v>92</v>
      </c>
      <c r="G34">
        <v>121</v>
      </c>
      <c r="H34" t="s">
        <v>367</v>
      </c>
    </row>
    <row r="35" spans="1:8">
      <c r="A35" t="s">
        <v>358</v>
      </c>
      <c r="B35">
        <v>0</v>
      </c>
      <c r="C35">
        <v>119</v>
      </c>
      <c r="D35">
        <v>656</v>
      </c>
      <c r="E35">
        <v>1</v>
      </c>
      <c r="F35">
        <v>49</v>
      </c>
      <c r="G35">
        <v>99</v>
      </c>
      <c r="H35" t="s">
        <v>368</v>
      </c>
    </row>
    <row r="36" spans="1:8">
      <c r="A36" t="s">
        <v>358</v>
      </c>
      <c r="B36">
        <v>0</v>
      </c>
      <c r="C36">
        <v>119</v>
      </c>
      <c r="D36">
        <v>656</v>
      </c>
      <c r="E36">
        <v>2</v>
      </c>
      <c r="F36">
        <v>73</v>
      </c>
      <c r="G36">
        <v>83</v>
      </c>
      <c r="H36" t="s">
        <v>361</v>
      </c>
    </row>
    <row r="37" spans="1:8">
      <c r="A37" t="s">
        <v>358</v>
      </c>
      <c r="B37">
        <v>0</v>
      </c>
      <c r="C37">
        <v>119</v>
      </c>
      <c r="D37">
        <v>656</v>
      </c>
      <c r="E37">
        <v>3</v>
      </c>
      <c r="F37">
        <v>95</v>
      </c>
      <c r="G37">
        <v>79</v>
      </c>
      <c r="H37" t="s">
        <v>369</v>
      </c>
    </row>
    <row r="38" spans="1:8">
      <c r="A38" t="s">
        <v>358</v>
      </c>
      <c r="B38">
        <v>0</v>
      </c>
      <c r="C38">
        <v>119</v>
      </c>
      <c r="D38">
        <v>656</v>
      </c>
      <c r="E38">
        <v>4</v>
      </c>
      <c r="F38">
        <v>111</v>
      </c>
      <c r="G38">
        <v>58</v>
      </c>
      <c r="H38" t="s">
        <v>370</v>
      </c>
    </row>
    <row r="39" spans="1:8">
      <c r="A39" t="s">
        <v>358</v>
      </c>
      <c r="B39">
        <v>0</v>
      </c>
      <c r="C39">
        <v>119</v>
      </c>
      <c r="D39">
        <v>656</v>
      </c>
      <c r="E39">
        <v>5</v>
      </c>
      <c r="F39">
        <v>61</v>
      </c>
      <c r="G39">
        <v>31</v>
      </c>
      <c r="H39" t="s">
        <v>371</v>
      </c>
    </row>
    <row r="40" spans="1:8">
      <c r="A40" t="s">
        <v>358</v>
      </c>
      <c r="B40">
        <v>0</v>
      </c>
      <c r="C40">
        <v>119</v>
      </c>
      <c r="D40">
        <v>656</v>
      </c>
      <c r="E40">
        <v>6</v>
      </c>
      <c r="F40">
        <v>102</v>
      </c>
      <c r="G40">
        <v>86</v>
      </c>
      <c r="H40" t="s">
        <v>372</v>
      </c>
    </row>
    <row r="41" spans="1:8">
      <c r="A41" t="s">
        <v>358</v>
      </c>
      <c r="B41">
        <v>0</v>
      </c>
      <c r="C41">
        <v>119</v>
      </c>
      <c r="D41">
        <v>656</v>
      </c>
      <c r="E41">
        <v>7</v>
      </c>
      <c r="F41">
        <v>119</v>
      </c>
      <c r="G41">
        <v>97</v>
      </c>
      <c r="H41" t="s">
        <v>373</v>
      </c>
    </row>
    <row r="42" spans="1:8">
      <c r="A42" t="s">
        <v>358</v>
      </c>
      <c r="B42">
        <v>0</v>
      </c>
      <c r="C42">
        <v>139</v>
      </c>
      <c r="D42">
        <v>628</v>
      </c>
      <c r="E42">
        <v>0</v>
      </c>
      <c r="F42">
        <v>73</v>
      </c>
      <c r="G42">
        <v>83</v>
      </c>
      <c r="H42" t="s">
        <v>361</v>
      </c>
    </row>
    <row r="43" spans="1:8">
      <c r="A43" t="s">
        <v>358</v>
      </c>
      <c r="B43">
        <v>0</v>
      </c>
      <c r="C43">
        <v>139</v>
      </c>
      <c r="D43">
        <v>628</v>
      </c>
      <c r="E43">
        <v>1</v>
      </c>
      <c r="F43">
        <v>81</v>
      </c>
      <c r="G43">
        <v>77</v>
      </c>
      <c r="H43" t="s">
        <v>374</v>
      </c>
    </row>
    <row r="44" spans="1:8">
      <c r="A44" t="s">
        <v>358</v>
      </c>
      <c r="B44">
        <v>0</v>
      </c>
      <c r="C44">
        <v>139</v>
      </c>
      <c r="D44">
        <v>628</v>
      </c>
      <c r="E44">
        <v>2</v>
      </c>
      <c r="F44">
        <v>137</v>
      </c>
      <c r="G44">
        <v>78</v>
      </c>
      <c r="H44" t="s">
        <v>375</v>
      </c>
    </row>
    <row r="45" spans="1:8">
      <c r="A45" t="s">
        <v>358</v>
      </c>
      <c r="B45">
        <v>0</v>
      </c>
      <c r="C45">
        <v>139</v>
      </c>
      <c r="D45">
        <v>628</v>
      </c>
      <c r="E45">
        <v>3</v>
      </c>
      <c r="F45">
        <v>141</v>
      </c>
      <c r="G45">
        <v>104</v>
      </c>
      <c r="H45" t="s">
        <v>376</v>
      </c>
    </row>
    <row r="46" spans="1:8">
      <c r="A46" t="s">
        <v>358</v>
      </c>
      <c r="B46">
        <v>0</v>
      </c>
      <c r="C46">
        <v>139</v>
      </c>
      <c r="D46">
        <v>628</v>
      </c>
      <c r="E46">
        <v>4</v>
      </c>
      <c r="F46">
        <v>105</v>
      </c>
      <c r="G46">
        <v>67</v>
      </c>
      <c r="H46" t="s">
        <v>377</v>
      </c>
    </row>
    <row r="47" spans="1:8">
      <c r="A47" t="s">
        <v>358</v>
      </c>
      <c r="B47">
        <v>0</v>
      </c>
      <c r="C47">
        <v>139</v>
      </c>
      <c r="D47">
        <v>628</v>
      </c>
      <c r="E47">
        <v>5</v>
      </c>
      <c r="F47">
        <v>102</v>
      </c>
      <c r="G47">
        <v>86</v>
      </c>
      <c r="H47" t="s">
        <v>372</v>
      </c>
    </row>
    <row r="48" spans="1:8">
      <c r="A48" t="s">
        <v>358</v>
      </c>
      <c r="B48">
        <v>0</v>
      </c>
      <c r="C48">
        <v>139</v>
      </c>
      <c r="D48">
        <v>628</v>
      </c>
      <c r="E48">
        <v>6</v>
      </c>
      <c r="F48">
        <v>61</v>
      </c>
      <c r="G48">
        <v>31</v>
      </c>
      <c r="H48" t="s">
        <v>371</v>
      </c>
    </row>
    <row r="49" spans="1:8">
      <c r="A49" t="s">
        <v>358</v>
      </c>
      <c r="B49">
        <v>0</v>
      </c>
      <c r="C49">
        <v>139</v>
      </c>
      <c r="D49">
        <v>628</v>
      </c>
      <c r="E49">
        <v>7</v>
      </c>
      <c r="F49">
        <v>49</v>
      </c>
      <c r="G49">
        <v>99</v>
      </c>
      <c r="H49" t="s">
        <v>368</v>
      </c>
    </row>
    <row r="50" spans="1:8">
      <c r="A50" t="s">
        <v>358</v>
      </c>
      <c r="B50">
        <v>0</v>
      </c>
      <c r="C50">
        <v>99</v>
      </c>
      <c r="D50">
        <v>785</v>
      </c>
      <c r="E50">
        <v>0</v>
      </c>
      <c r="F50">
        <v>52</v>
      </c>
      <c r="G50">
        <v>97</v>
      </c>
      <c r="H50" t="s">
        <v>359</v>
      </c>
    </row>
    <row r="51" spans="1:8">
      <c r="A51" t="s">
        <v>358</v>
      </c>
      <c r="B51">
        <v>0</v>
      </c>
      <c r="C51">
        <v>99</v>
      </c>
      <c r="D51">
        <v>785</v>
      </c>
      <c r="E51">
        <v>1</v>
      </c>
      <c r="F51">
        <v>91</v>
      </c>
      <c r="G51">
        <v>70</v>
      </c>
      <c r="H51" t="s">
        <v>360</v>
      </c>
    </row>
    <row r="52" spans="1:8">
      <c r="A52" t="s">
        <v>358</v>
      </c>
      <c r="B52">
        <v>0</v>
      </c>
      <c r="C52">
        <v>99</v>
      </c>
      <c r="D52">
        <v>785</v>
      </c>
      <c r="E52">
        <v>2</v>
      </c>
      <c r="F52">
        <v>73</v>
      </c>
      <c r="G52">
        <v>83</v>
      </c>
      <c r="H52" t="s">
        <v>361</v>
      </c>
    </row>
    <row r="53" spans="1:8">
      <c r="A53" t="s">
        <v>358</v>
      </c>
      <c r="B53">
        <v>0</v>
      </c>
      <c r="C53">
        <v>99</v>
      </c>
      <c r="D53">
        <v>785</v>
      </c>
      <c r="E53">
        <v>3</v>
      </c>
      <c r="F53">
        <v>12</v>
      </c>
      <c r="G53">
        <v>101</v>
      </c>
      <c r="H53" t="s">
        <v>362</v>
      </c>
    </row>
    <row r="54" spans="1:8">
      <c r="A54" t="s">
        <v>358</v>
      </c>
      <c r="B54">
        <v>0</v>
      </c>
      <c r="C54">
        <v>99</v>
      </c>
      <c r="D54">
        <v>785</v>
      </c>
      <c r="E54">
        <v>4</v>
      </c>
      <c r="F54">
        <v>43</v>
      </c>
      <c r="G54">
        <v>80</v>
      </c>
      <c r="H54" t="s">
        <v>363</v>
      </c>
    </row>
    <row r="55" spans="1:8">
      <c r="A55" t="s">
        <v>358</v>
      </c>
      <c r="B55">
        <v>0</v>
      </c>
      <c r="C55">
        <v>99</v>
      </c>
      <c r="D55">
        <v>785</v>
      </c>
      <c r="E55">
        <v>5</v>
      </c>
      <c r="F55">
        <v>38</v>
      </c>
      <c r="G55">
        <v>113</v>
      </c>
      <c r="H55" t="s">
        <v>364</v>
      </c>
    </row>
    <row r="56" spans="1:8">
      <c r="A56" t="s">
        <v>358</v>
      </c>
      <c r="B56">
        <v>0</v>
      </c>
      <c r="C56">
        <v>99</v>
      </c>
      <c r="D56">
        <v>785</v>
      </c>
      <c r="E56">
        <v>6</v>
      </c>
      <c r="F56">
        <v>94</v>
      </c>
      <c r="G56">
        <v>98</v>
      </c>
      <c r="H56" t="s">
        <v>365</v>
      </c>
    </row>
    <row r="57" spans="1:8">
      <c r="A57" t="s">
        <v>358</v>
      </c>
      <c r="B57">
        <v>0</v>
      </c>
      <c r="C57">
        <v>99</v>
      </c>
      <c r="D57">
        <v>785</v>
      </c>
      <c r="E57">
        <v>7</v>
      </c>
      <c r="F57">
        <v>47</v>
      </c>
      <c r="G57">
        <v>140</v>
      </c>
      <c r="H57" t="s">
        <v>366</v>
      </c>
    </row>
    <row r="58" spans="1:8">
      <c r="A58" t="s">
        <v>358</v>
      </c>
      <c r="B58">
        <v>0</v>
      </c>
      <c r="C58">
        <v>119</v>
      </c>
      <c r="D58">
        <v>656</v>
      </c>
      <c r="E58">
        <v>0</v>
      </c>
      <c r="F58">
        <v>92</v>
      </c>
      <c r="G58">
        <v>121</v>
      </c>
      <c r="H58" t="s">
        <v>367</v>
      </c>
    </row>
    <row r="59" spans="1:8">
      <c r="A59" t="s">
        <v>358</v>
      </c>
      <c r="B59">
        <v>0</v>
      </c>
      <c r="C59">
        <v>119</v>
      </c>
      <c r="D59">
        <v>656</v>
      </c>
      <c r="E59">
        <v>1</v>
      </c>
      <c r="F59">
        <v>49</v>
      </c>
      <c r="G59">
        <v>99</v>
      </c>
      <c r="H59" t="s">
        <v>368</v>
      </c>
    </row>
    <row r="60" spans="1:8">
      <c r="A60" t="s">
        <v>358</v>
      </c>
      <c r="B60">
        <v>0</v>
      </c>
      <c r="C60">
        <v>119</v>
      </c>
      <c r="D60">
        <v>656</v>
      </c>
      <c r="E60">
        <v>2</v>
      </c>
      <c r="F60">
        <v>73</v>
      </c>
      <c r="G60">
        <v>83</v>
      </c>
      <c r="H60" t="s">
        <v>361</v>
      </c>
    </row>
    <row r="61" spans="1:8">
      <c r="A61" t="s">
        <v>358</v>
      </c>
      <c r="B61">
        <v>0</v>
      </c>
      <c r="C61">
        <v>119</v>
      </c>
      <c r="D61">
        <v>656</v>
      </c>
      <c r="E61">
        <v>3</v>
      </c>
      <c r="F61">
        <v>95</v>
      </c>
      <c r="G61">
        <v>79</v>
      </c>
      <c r="H61" t="s">
        <v>369</v>
      </c>
    </row>
    <row r="62" spans="1:8">
      <c r="A62" t="s">
        <v>358</v>
      </c>
      <c r="B62">
        <v>0</v>
      </c>
      <c r="C62">
        <v>119</v>
      </c>
      <c r="D62">
        <v>656</v>
      </c>
      <c r="E62">
        <v>4</v>
      </c>
      <c r="F62">
        <v>111</v>
      </c>
      <c r="G62">
        <v>58</v>
      </c>
      <c r="H62" t="s">
        <v>370</v>
      </c>
    </row>
    <row r="63" spans="1:8">
      <c r="A63" t="s">
        <v>358</v>
      </c>
      <c r="B63">
        <v>0</v>
      </c>
      <c r="C63">
        <v>119</v>
      </c>
      <c r="D63">
        <v>656</v>
      </c>
      <c r="E63">
        <v>5</v>
      </c>
      <c r="F63">
        <v>61</v>
      </c>
      <c r="G63">
        <v>31</v>
      </c>
      <c r="H63" t="s">
        <v>371</v>
      </c>
    </row>
    <row r="64" spans="1:8">
      <c r="A64" t="s">
        <v>358</v>
      </c>
      <c r="B64">
        <v>0</v>
      </c>
      <c r="C64">
        <v>119</v>
      </c>
      <c r="D64">
        <v>656</v>
      </c>
      <c r="E64">
        <v>6</v>
      </c>
      <c r="F64">
        <v>102</v>
      </c>
      <c r="G64">
        <v>86</v>
      </c>
      <c r="H64" t="s">
        <v>372</v>
      </c>
    </row>
    <row r="65" spans="1:8">
      <c r="A65" t="s">
        <v>358</v>
      </c>
      <c r="B65">
        <v>0</v>
      </c>
      <c r="C65">
        <v>119</v>
      </c>
      <c r="D65">
        <v>656</v>
      </c>
      <c r="E65">
        <v>7</v>
      </c>
      <c r="F65">
        <v>119</v>
      </c>
      <c r="G65">
        <v>97</v>
      </c>
      <c r="H65" t="s">
        <v>373</v>
      </c>
    </row>
    <row r="66" spans="1:8">
      <c r="A66" t="s">
        <v>358</v>
      </c>
      <c r="B66">
        <v>0</v>
      </c>
      <c r="C66">
        <v>139</v>
      </c>
      <c r="D66">
        <v>628</v>
      </c>
      <c r="E66">
        <v>0</v>
      </c>
      <c r="F66">
        <v>73</v>
      </c>
      <c r="G66">
        <v>83</v>
      </c>
      <c r="H66" t="s">
        <v>361</v>
      </c>
    </row>
    <row r="67" spans="1:8">
      <c r="A67" t="s">
        <v>358</v>
      </c>
      <c r="B67">
        <v>0</v>
      </c>
      <c r="C67">
        <v>139</v>
      </c>
      <c r="D67">
        <v>628</v>
      </c>
      <c r="E67">
        <v>1</v>
      </c>
      <c r="F67">
        <v>81</v>
      </c>
      <c r="G67">
        <v>77</v>
      </c>
      <c r="H67" t="s">
        <v>374</v>
      </c>
    </row>
    <row r="68" spans="1:8">
      <c r="A68" t="s">
        <v>358</v>
      </c>
      <c r="B68">
        <v>0</v>
      </c>
      <c r="C68">
        <v>139</v>
      </c>
      <c r="D68">
        <v>628</v>
      </c>
      <c r="E68">
        <v>2</v>
      </c>
      <c r="F68">
        <v>137</v>
      </c>
      <c r="G68">
        <v>78</v>
      </c>
      <c r="H68" t="s">
        <v>375</v>
      </c>
    </row>
    <row r="69" spans="1:8">
      <c r="A69" t="s">
        <v>358</v>
      </c>
      <c r="B69">
        <v>0</v>
      </c>
      <c r="C69">
        <v>139</v>
      </c>
      <c r="D69">
        <v>628</v>
      </c>
      <c r="E69">
        <v>3</v>
      </c>
      <c r="F69">
        <v>141</v>
      </c>
      <c r="G69">
        <v>104</v>
      </c>
      <c r="H69" t="s">
        <v>376</v>
      </c>
    </row>
    <row r="70" spans="1:8">
      <c r="A70" t="s">
        <v>358</v>
      </c>
      <c r="B70">
        <v>0</v>
      </c>
      <c r="C70">
        <v>139</v>
      </c>
      <c r="D70">
        <v>628</v>
      </c>
      <c r="E70">
        <v>4</v>
      </c>
      <c r="F70">
        <v>105</v>
      </c>
      <c r="G70">
        <v>67</v>
      </c>
      <c r="H70" t="s">
        <v>377</v>
      </c>
    </row>
    <row r="71" spans="1:8">
      <c r="A71" t="s">
        <v>358</v>
      </c>
      <c r="B71">
        <v>0</v>
      </c>
      <c r="C71">
        <v>139</v>
      </c>
      <c r="D71">
        <v>628</v>
      </c>
      <c r="E71">
        <v>5</v>
      </c>
      <c r="F71">
        <v>102</v>
      </c>
      <c r="G71">
        <v>86</v>
      </c>
      <c r="H71" t="s">
        <v>372</v>
      </c>
    </row>
    <row r="72" spans="1:8">
      <c r="A72" t="s">
        <v>358</v>
      </c>
      <c r="B72">
        <v>0</v>
      </c>
      <c r="C72">
        <v>139</v>
      </c>
      <c r="D72">
        <v>628</v>
      </c>
      <c r="E72">
        <v>6</v>
      </c>
      <c r="F72">
        <v>61</v>
      </c>
      <c r="G72">
        <v>31</v>
      </c>
      <c r="H72" t="s">
        <v>371</v>
      </c>
    </row>
    <row r="73" spans="1:8">
      <c r="A73" t="s">
        <v>358</v>
      </c>
      <c r="B73">
        <v>0</v>
      </c>
      <c r="C73">
        <v>139</v>
      </c>
      <c r="D73">
        <v>628</v>
      </c>
      <c r="E73">
        <v>7</v>
      </c>
      <c r="F73">
        <v>49</v>
      </c>
      <c r="G73">
        <v>99</v>
      </c>
      <c r="H73" t="s">
        <v>368</v>
      </c>
    </row>
    <row r="74" spans="1:8">
      <c r="A74" t="s">
        <v>358</v>
      </c>
      <c r="B74">
        <v>0</v>
      </c>
      <c r="C74">
        <v>99</v>
      </c>
      <c r="D74">
        <v>785</v>
      </c>
      <c r="E74">
        <v>0</v>
      </c>
      <c r="F74">
        <v>52</v>
      </c>
      <c r="G74">
        <v>97</v>
      </c>
      <c r="H74" t="s">
        <v>359</v>
      </c>
    </row>
    <row r="75" spans="1:8">
      <c r="A75" t="s">
        <v>358</v>
      </c>
      <c r="B75">
        <v>0</v>
      </c>
      <c r="C75">
        <v>99</v>
      </c>
      <c r="D75">
        <v>785</v>
      </c>
      <c r="E75">
        <v>1</v>
      </c>
      <c r="F75">
        <v>91</v>
      </c>
      <c r="G75">
        <v>70</v>
      </c>
      <c r="H75" t="s">
        <v>360</v>
      </c>
    </row>
    <row r="76" spans="1:8">
      <c r="A76" t="s">
        <v>358</v>
      </c>
      <c r="B76">
        <v>0</v>
      </c>
      <c r="C76">
        <v>99</v>
      </c>
      <c r="D76">
        <v>785</v>
      </c>
      <c r="E76">
        <v>2</v>
      </c>
      <c r="F76">
        <v>73</v>
      </c>
      <c r="G76">
        <v>83</v>
      </c>
      <c r="H76" t="s">
        <v>361</v>
      </c>
    </row>
    <row r="77" spans="1:8">
      <c r="A77" t="s">
        <v>358</v>
      </c>
      <c r="B77">
        <v>0</v>
      </c>
      <c r="C77">
        <v>99</v>
      </c>
      <c r="D77">
        <v>785</v>
      </c>
      <c r="E77">
        <v>3</v>
      </c>
      <c r="F77">
        <v>12</v>
      </c>
      <c r="G77">
        <v>101</v>
      </c>
      <c r="H77" t="s">
        <v>362</v>
      </c>
    </row>
    <row r="78" spans="1:8">
      <c r="A78" t="s">
        <v>358</v>
      </c>
      <c r="B78">
        <v>0</v>
      </c>
      <c r="C78">
        <v>99</v>
      </c>
      <c r="D78">
        <v>785</v>
      </c>
      <c r="E78">
        <v>4</v>
      </c>
      <c r="F78">
        <v>43</v>
      </c>
      <c r="G78">
        <v>80</v>
      </c>
      <c r="H78" t="s">
        <v>363</v>
      </c>
    </row>
    <row r="79" spans="1:8">
      <c r="A79" t="s">
        <v>358</v>
      </c>
      <c r="B79">
        <v>0</v>
      </c>
      <c r="C79">
        <v>99</v>
      </c>
      <c r="D79">
        <v>785</v>
      </c>
      <c r="E79">
        <v>5</v>
      </c>
      <c r="F79">
        <v>38</v>
      </c>
      <c r="G79">
        <v>113</v>
      </c>
      <c r="H79" t="s">
        <v>364</v>
      </c>
    </row>
    <row r="80" spans="1:8">
      <c r="A80" t="s">
        <v>358</v>
      </c>
      <c r="B80">
        <v>0</v>
      </c>
      <c r="C80">
        <v>99</v>
      </c>
      <c r="D80">
        <v>785</v>
      </c>
      <c r="E80">
        <v>6</v>
      </c>
      <c r="F80">
        <v>94</v>
      </c>
      <c r="G80">
        <v>98</v>
      </c>
      <c r="H80" t="s">
        <v>365</v>
      </c>
    </row>
    <row r="81" spans="1:8">
      <c r="A81" t="s">
        <v>358</v>
      </c>
      <c r="B81">
        <v>0</v>
      </c>
      <c r="C81">
        <v>99</v>
      </c>
      <c r="D81">
        <v>785</v>
      </c>
      <c r="E81">
        <v>7</v>
      </c>
      <c r="F81">
        <v>47</v>
      </c>
      <c r="G81">
        <v>140</v>
      </c>
      <c r="H81" t="s">
        <v>366</v>
      </c>
    </row>
    <row r="82" spans="1:8">
      <c r="A82" t="s">
        <v>358</v>
      </c>
      <c r="B82">
        <v>0</v>
      </c>
      <c r="C82">
        <v>119</v>
      </c>
      <c r="D82">
        <v>656</v>
      </c>
      <c r="E82">
        <v>0</v>
      </c>
      <c r="F82">
        <v>92</v>
      </c>
      <c r="G82">
        <v>121</v>
      </c>
      <c r="H82" t="s">
        <v>367</v>
      </c>
    </row>
    <row r="83" spans="1:8">
      <c r="A83" t="s">
        <v>358</v>
      </c>
      <c r="B83">
        <v>0</v>
      </c>
      <c r="C83">
        <v>119</v>
      </c>
      <c r="D83">
        <v>656</v>
      </c>
      <c r="E83">
        <v>1</v>
      </c>
      <c r="F83">
        <v>49</v>
      </c>
      <c r="G83">
        <v>99</v>
      </c>
      <c r="H83" t="s">
        <v>368</v>
      </c>
    </row>
    <row r="84" spans="1:8">
      <c r="A84" t="s">
        <v>358</v>
      </c>
      <c r="B84">
        <v>0</v>
      </c>
      <c r="C84">
        <v>119</v>
      </c>
      <c r="D84">
        <v>656</v>
      </c>
      <c r="E84">
        <v>2</v>
      </c>
      <c r="F84">
        <v>73</v>
      </c>
      <c r="G84">
        <v>83</v>
      </c>
      <c r="H84" t="s">
        <v>361</v>
      </c>
    </row>
    <row r="85" spans="1:8">
      <c r="A85" t="s">
        <v>358</v>
      </c>
      <c r="B85">
        <v>0</v>
      </c>
      <c r="C85">
        <v>119</v>
      </c>
      <c r="D85">
        <v>656</v>
      </c>
      <c r="E85">
        <v>3</v>
      </c>
      <c r="F85">
        <v>95</v>
      </c>
      <c r="G85">
        <v>79</v>
      </c>
      <c r="H85" t="s">
        <v>369</v>
      </c>
    </row>
    <row r="86" spans="1:8">
      <c r="A86" t="s">
        <v>358</v>
      </c>
      <c r="B86">
        <v>0</v>
      </c>
      <c r="C86">
        <v>119</v>
      </c>
      <c r="D86">
        <v>656</v>
      </c>
      <c r="E86">
        <v>4</v>
      </c>
      <c r="F86">
        <v>111</v>
      </c>
      <c r="G86">
        <v>58</v>
      </c>
      <c r="H86" t="s">
        <v>370</v>
      </c>
    </row>
    <row r="87" spans="1:8">
      <c r="A87" t="s">
        <v>358</v>
      </c>
      <c r="B87">
        <v>0</v>
      </c>
      <c r="C87">
        <v>119</v>
      </c>
      <c r="D87">
        <v>656</v>
      </c>
      <c r="E87">
        <v>5</v>
      </c>
      <c r="F87">
        <v>61</v>
      </c>
      <c r="G87">
        <v>31</v>
      </c>
      <c r="H87" t="s">
        <v>371</v>
      </c>
    </row>
    <row r="88" spans="1:8">
      <c r="A88" t="s">
        <v>358</v>
      </c>
      <c r="B88">
        <v>0</v>
      </c>
      <c r="C88">
        <v>119</v>
      </c>
      <c r="D88">
        <v>656</v>
      </c>
      <c r="E88">
        <v>6</v>
      </c>
      <c r="F88">
        <v>102</v>
      </c>
      <c r="G88">
        <v>86</v>
      </c>
      <c r="H88" t="s">
        <v>372</v>
      </c>
    </row>
    <row r="89" spans="1:8">
      <c r="A89" t="s">
        <v>358</v>
      </c>
      <c r="B89">
        <v>0</v>
      </c>
      <c r="C89">
        <v>119</v>
      </c>
      <c r="D89">
        <v>656</v>
      </c>
      <c r="E89">
        <v>7</v>
      </c>
      <c r="F89">
        <v>119</v>
      </c>
      <c r="G89">
        <v>97</v>
      </c>
      <c r="H89" t="s">
        <v>373</v>
      </c>
    </row>
    <row r="90" spans="1:8">
      <c r="A90" t="s">
        <v>358</v>
      </c>
      <c r="B90">
        <v>0</v>
      </c>
      <c r="C90">
        <v>139</v>
      </c>
      <c r="D90">
        <v>628</v>
      </c>
      <c r="E90">
        <v>0</v>
      </c>
      <c r="F90">
        <v>73</v>
      </c>
      <c r="G90">
        <v>83</v>
      </c>
      <c r="H90" t="s">
        <v>361</v>
      </c>
    </row>
    <row r="91" spans="1:8">
      <c r="A91" t="s">
        <v>358</v>
      </c>
      <c r="B91">
        <v>0</v>
      </c>
      <c r="C91">
        <v>139</v>
      </c>
      <c r="D91">
        <v>628</v>
      </c>
      <c r="E91">
        <v>1</v>
      </c>
      <c r="F91">
        <v>81</v>
      </c>
      <c r="G91">
        <v>77</v>
      </c>
      <c r="H91" t="s">
        <v>374</v>
      </c>
    </row>
    <row r="92" spans="1:8">
      <c r="A92" t="s">
        <v>358</v>
      </c>
      <c r="B92">
        <v>0</v>
      </c>
      <c r="C92">
        <v>139</v>
      </c>
      <c r="D92">
        <v>628</v>
      </c>
      <c r="E92">
        <v>2</v>
      </c>
      <c r="F92">
        <v>137</v>
      </c>
      <c r="G92">
        <v>78</v>
      </c>
      <c r="H92" t="s">
        <v>375</v>
      </c>
    </row>
    <row r="93" spans="1:8">
      <c r="A93" t="s">
        <v>358</v>
      </c>
      <c r="B93">
        <v>0</v>
      </c>
      <c r="C93">
        <v>139</v>
      </c>
      <c r="D93">
        <v>628</v>
      </c>
      <c r="E93">
        <v>3</v>
      </c>
      <c r="F93">
        <v>141</v>
      </c>
      <c r="G93">
        <v>104</v>
      </c>
      <c r="H93" t="s">
        <v>376</v>
      </c>
    </row>
    <row r="94" spans="1:8">
      <c r="A94" t="s">
        <v>358</v>
      </c>
      <c r="B94">
        <v>0</v>
      </c>
      <c r="C94">
        <v>139</v>
      </c>
      <c r="D94">
        <v>628</v>
      </c>
      <c r="E94">
        <v>4</v>
      </c>
      <c r="F94">
        <v>105</v>
      </c>
      <c r="G94">
        <v>67</v>
      </c>
      <c r="H94" t="s">
        <v>377</v>
      </c>
    </row>
    <row r="95" spans="1:8">
      <c r="A95" t="s">
        <v>358</v>
      </c>
      <c r="B95">
        <v>0</v>
      </c>
      <c r="C95">
        <v>139</v>
      </c>
      <c r="D95">
        <v>628</v>
      </c>
      <c r="E95">
        <v>5</v>
      </c>
      <c r="F95">
        <v>102</v>
      </c>
      <c r="G95">
        <v>86</v>
      </c>
      <c r="H95" t="s">
        <v>372</v>
      </c>
    </row>
    <row r="96" spans="1:8">
      <c r="A96" t="s">
        <v>358</v>
      </c>
      <c r="B96">
        <v>0</v>
      </c>
      <c r="C96">
        <v>139</v>
      </c>
      <c r="D96">
        <v>628</v>
      </c>
      <c r="E96">
        <v>6</v>
      </c>
      <c r="F96">
        <v>61</v>
      </c>
      <c r="G96">
        <v>31</v>
      </c>
      <c r="H96" t="s">
        <v>371</v>
      </c>
    </row>
    <row r="97" spans="1:8">
      <c r="A97" t="s">
        <v>358</v>
      </c>
      <c r="B97">
        <v>0</v>
      </c>
      <c r="C97">
        <v>139</v>
      </c>
      <c r="D97">
        <v>628</v>
      </c>
      <c r="E97">
        <v>7</v>
      </c>
      <c r="F97">
        <v>49</v>
      </c>
      <c r="G97">
        <v>99</v>
      </c>
      <c r="H97" t="s">
        <v>368</v>
      </c>
    </row>
    <row r="98" spans="1:8">
      <c r="A98" t="s">
        <v>358</v>
      </c>
      <c r="B98">
        <v>0</v>
      </c>
      <c r="C98">
        <v>99</v>
      </c>
      <c r="D98">
        <v>785</v>
      </c>
      <c r="E98">
        <v>0</v>
      </c>
      <c r="F98">
        <v>52</v>
      </c>
      <c r="G98">
        <v>97</v>
      </c>
      <c r="H98" t="s">
        <v>359</v>
      </c>
    </row>
    <row r="99" spans="1:8">
      <c r="A99" t="s">
        <v>358</v>
      </c>
      <c r="B99">
        <v>0</v>
      </c>
      <c r="C99">
        <v>99</v>
      </c>
      <c r="D99">
        <v>785</v>
      </c>
      <c r="E99">
        <v>1</v>
      </c>
      <c r="F99">
        <v>91</v>
      </c>
      <c r="G99">
        <v>70</v>
      </c>
      <c r="H99" t="s">
        <v>360</v>
      </c>
    </row>
    <row r="100" spans="1:8">
      <c r="A100" t="s">
        <v>358</v>
      </c>
      <c r="B100">
        <v>0</v>
      </c>
      <c r="C100">
        <v>99</v>
      </c>
      <c r="D100">
        <v>785</v>
      </c>
      <c r="E100">
        <v>2</v>
      </c>
      <c r="F100">
        <v>73</v>
      </c>
      <c r="G100">
        <v>83</v>
      </c>
      <c r="H100" t="s">
        <v>361</v>
      </c>
    </row>
    <row r="101" spans="1:8">
      <c r="A101" t="s">
        <v>358</v>
      </c>
      <c r="B101">
        <v>0</v>
      </c>
      <c r="C101">
        <v>99</v>
      </c>
      <c r="D101">
        <v>785</v>
      </c>
      <c r="E101">
        <v>3</v>
      </c>
      <c r="F101">
        <v>12</v>
      </c>
      <c r="G101">
        <v>101</v>
      </c>
      <c r="H101" t="s">
        <v>362</v>
      </c>
    </row>
    <row r="102" spans="1:8">
      <c r="A102" t="s">
        <v>358</v>
      </c>
      <c r="B102">
        <v>0</v>
      </c>
      <c r="C102">
        <v>99</v>
      </c>
      <c r="D102">
        <v>785</v>
      </c>
      <c r="E102">
        <v>4</v>
      </c>
      <c r="F102">
        <v>43</v>
      </c>
      <c r="G102">
        <v>80</v>
      </c>
      <c r="H102" t="s">
        <v>363</v>
      </c>
    </row>
    <row r="103" spans="1:8">
      <c r="A103" t="s">
        <v>358</v>
      </c>
      <c r="B103">
        <v>0</v>
      </c>
      <c r="C103">
        <v>99</v>
      </c>
      <c r="D103">
        <v>785</v>
      </c>
      <c r="E103">
        <v>5</v>
      </c>
      <c r="F103">
        <v>38</v>
      </c>
      <c r="G103">
        <v>113</v>
      </c>
      <c r="H103" t="s">
        <v>364</v>
      </c>
    </row>
    <row r="104" spans="1:8">
      <c r="A104" t="s">
        <v>358</v>
      </c>
      <c r="B104">
        <v>0</v>
      </c>
      <c r="C104">
        <v>99</v>
      </c>
      <c r="D104">
        <v>785</v>
      </c>
      <c r="E104">
        <v>6</v>
      </c>
      <c r="F104">
        <v>94</v>
      </c>
      <c r="G104">
        <v>98</v>
      </c>
      <c r="H104" t="s">
        <v>365</v>
      </c>
    </row>
    <row r="105" spans="1:8">
      <c r="A105" t="s">
        <v>358</v>
      </c>
      <c r="B105">
        <v>0</v>
      </c>
      <c r="C105">
        <v>99</v>
      </c>
      <c r="D105">
        <v>785</v>
      </c>
      <c r="E105">
        <v>7</v>
      </c>
      <c r="F105">
        <v>47</v>
      </c>
      <c r="G105">
        <v>140</v>
      </c>
      <c r="H105" t="s">
        <v>366</v>
      </c>
    </row>
    <row r="106" spans="1:8">
      <c r="A106" t="s">
        <v>358</v>
      </c>
      <c r="B106">
        <v>0</v>
      </c>
      <c r="C106">
        <v>119</v>
      </c>
      <c r="D106">
        <v>656</v>
      </c>
      <c r="E106">
        <v>0</v>
      </c>
      <c r="F106">
        <v>92</v>
      </c>
      <c r="G106">
        <v>121</v>
      </c>
      <c r="H106" t="s">
        <v>367</v>
      </c>
    </row>
    <row r="107" spans="1:8">
      <c r="A107" t="s">
        <v>358</v>
      </c>
      <c r="B107">
        <v>0</v>
      </c>
      <c r="C107">
        <v>119</v>
      </c>
      <c r="D107">
        <v>656</v>
      </c>
      <c r="E107">
        <v>1</v>
      </c>
      <c r="F107">
        <v>49</v>
      </c>
      <c r="G107">
        <v>99</v>
      </c>
      <c r="H107" t="s">
        <v>368</v>
      </c>
    </row>
    <row r="108" spans="1:8">
      <c r="A108" t="s">
        <v>358</v>
      </c>
      <c r="B108">
        <v>0</v>
      </c>
      <c r="C108">
        <v>119</v>
      </c>
      <c r="D108">
        <v>656</v>
      </c>
      <c r="E108">
        <v>2</v>
      </c>
      <c r="F108">
        <v>73</v>
      </c>
      <c r="G108">
        <v>83</v>
      </c>
      <c r="H108" t="s">
        <v>361</v>
      </c>
    </row>
    <row r="109" spans="1:8">
      <c r="A109" t="s">
        <v>358</v>
      </c>
      <c r="B109">
        <v>0</v>
      </c>
      <c r="C109">
        <v>119</v>
      </c>
      <c r="D109">
        <v>656</v>
      </c>
      <c r="E109">
        <v>3</v>
      </c>
      <c r="F109">
        <v>95</v>
      </c>
      <c r="G109">
        <v>79</v>
      </c>
      <c r="H109" t="s">
        <v>369</v>
      </c>
    </row>
    <row r="110" spans="1:8">
      <c r="A110" t="s">
        <v>358</v>
      </c>
      <c r="B110">
        <v>0</v>
      </c>
      <c r="C110">
        <v>119</v>
      </c>
      <c r="D110">
        <v>656</v>
      </c>
      <c r="E110">
        <v>4</v>
      </c>
      <c r="F110">
        <v>111</v>
      </c>
      <c r="G110">
        <v>58</v>
      </c>
      <c r="H110" t="s">
        <v>370</v>
      </c>
    </row>
    <row r="111" spans="1:8">
      <c r="A111" t="s">
        <v>358</v>
      </c>
      <c r="B111">
        <v>0</v>
      </c>
      <c r="C111">
        <v>119</v>
      </c>
      <c r="D111">
        <v>656</v>
      </c>
      <c r="E111">
        <v>5</v>
      </c>
      <c r="F111">
        <v>61</v>
      </c>
      <c r="G111">
        <v>31</v>
      </c>
      <c r="H111" t="s">
        <v>371</v>
      </c>
    </row>
    <row r="112" spans="1:8">
      <c r="A112" t="s">
        <v>358</v>
      </c>
      <c r="B112">
        <v>0</v>
      </c>
      <c r="C112">
        <v>119</v>
      </c>
      <c r="D112">
        <v>656</v>
      </c>
      <c r="E112">
        <v>6</v>
      </c>
      <c r="F112">
        <v>102</v>
      </c>
      <c r="G112">
        <v>86</v>
      </c>
      <c r="H112" t="s">
        <v>372</v>
      </c>
    </row>
    <row r="113" spans="1:8">
      <c r="A113" t="s">
        <v>358</v>
      </c>
      <c r="B113">
        <v>0</v>
      </c>
      <c r="C113">
        <v>119</v>
      </c>
      <c r="D113">
        <v>656</v>
      </c>
      <c r="E113">
        <v>7</v>
      </c>
      <c r="F113">
        <v>119</v>
      </c>
      <c r="G113">
        <v>97</v>
      </c>
      <c r="H113" t="s">
        <v>373</v>
      </c>
    </row>
    <row r="114" spans="1:8">
      <c r="A114" t="s">
        <v>358</v>
      </c>
      <c r="B114">
        <v>0</v>
      </c>
      <c r="C114">
        <v>139</v>
      </c>
      <c r="D114">
        <v>628</v>
      </c>
      <c r="E114">
        <v>0</v>
      </c>
      <c r="F114">
        <v>73</v>
      </c>
      <c r="G114">
        <v>83</v>
      </c>
      <c r="H114" t="s">
        <v>361</v>
      </c>
    </row>
    <row r="115" spans="1:8">
      <c r="A115" t="s">
        <v>358</v>
      </c>
      <c r="B115">
        <v>0</v>
      </c>
      <c r="C115">
        <v>139</v>
      </c>
      <c r="D115">
        <v>628</v>
      </c>
      <c r="E115">
        <v>1</v>
      </c>
      <c r="F115">
        <v>81</v>
      </c>
      <c r="G115">
        <v>77</v>
      </c>
      <c r="H115" t="s">
        <v>374</v>
      </c>
    </row>
    <row r="116" spans="1:8">
      <c r="A116" t="s">
        <v>358</v>
      </c>
      <c r="B116">
        <v>0</v>
      </c>
      <c r="C116">
        <v>139</v>
      </c>
      <c r="D116">
        <v>628</v>
      </c>
      <c r="E116">
        <v>2</v>
      </c>
      <c r="F116">
        <v>137</v>
      </c>
      <c r="G116">
        <v>78</v>
      </c>
      <c r="H116" t="s">
        <v>375</v>
      </c>
    </row>
    <row r="117" spans="1:8">
      <c r="A117" t="s">
        <v>358</v>
      </c>
      <c r="B117">
        <v>0</v>
      </c>
      <c r="C117">
        <v>139</v>
      </c>
      <c r="D117">
        <v>628</v>
      </c>
      <c r="E117">
        <v>3</v>
      </c>
      <c r="F117">
        <v>141</v>
      </c>
      <c r="G117">
        <v>104</v>
      </c>
      <c r="H117" t="s">
        <v>376</v>
      </c>
    </row>
    <row r="118" spans="1:8">
      <c r="A118" t="s">
        <v>358</v>
      </c>
      <c r="B118">
        <v>0</v>
      </c>
      <c r="C118">
        <v>139</v>
      </c>
      <c r="D118">
        <v>628</v>
      </c>
      <c r="E118">
        <v>4</v>
      </c>
      <c r="F118">
        <v>105</v>
      </c>
      <c r="G118">
        <v>67</v>
      </c>
      <c r="H118" t="s">
        <v>377</v>
      </c>
    </row>
    <row r="119" spans="1:8">
      <c r="A119" t="s">
        <v>358</v>
      </c>
      <c r="B119">
        <v>0</v>
      </c>
      <c r="C119">
        <v>139</v>
      </c>
      <c r="D119">
        <v>628</v>
      </c>
      <c r="E119">
        <v>5</v>
      </c>
      <c r="F119">
        <v>102</v>
      </c>
      <c r="G119">
        <v>86</v>
      </c>
      <c r="H119" t="s">
        <v>372</v>
      </c>
    </row>
    <row r="120" spans="1:8">
      <c r="A120" t="s">
        <v>358</v>
      </c>
      <c r="B120">
        <v>0</v>
      </c>
      <c r="C120">
        <v>139</v>
      </c>
      <c r="D120">
        <v>628</v>
      </c>
      <c r="E120">
        <v>6</v>
      </c>
      <c r="F120">
        <v>61</v>
      </c>
      <c r="G120">
        <v>31</v>
      </c>
      <c r="H120" t="s">
        <v>371</v>
      </c>
    </row>
    <row r="121" spans="1:8">
      <c r="A121" t="s">
        <v>358</v>
      </c>
      <c r="B121">
        <v>0</v>
      </c>
      <c r="C121">
        <v>139</v>
      </c>
      <c r="D121">
        <v>628</v>
      </c>
      <c r="E121">
        <v>7</v>
      </c>
      <c r="F121">
        <v>49</v>
      </c>
      <c r="G121">
        <v>99</v>
      </c>
      <c r="H121" t="s">
        <v>368</v>
      </c>
    </row>
    <row r="122" spans="1:8">
      <c r="A122" t="s">
        <v>358</v>
      </c>
      <c r="B122">
        <v>0</v>
      </c>
      <c r="C122">
        <v>119</v>
      </c>
      <c r="D122">
        <v>686</v>
      </c>
      <c r="E122">
        <v>0</v>
      </c>
      <c r="F122">
        <v>19</v>
      </c>
      <c r="G122">
        <v>93</v>
      </c>
      <c r="H122" t="s">
        <v>378</v>
      </c>
    </row>
    <row r="123" spans="1:8">
      <c r="A123" t="s">
        <v>358</v>
      </c>
      <c r="B123">
        <v>0</v>
      </c>
      <c r="C123">
        <v>119</v>
      </c>
      <c r="D123">
        <v>686</v>
      </c>
      <c r="E123">
        <v>1</v>
      </c>
      <c r="F123">
        <v>35</v>
      </c>
      <c r="G123">
        <v>94</v>
      </c>
      <c r="H123" t="s">
        <v>379</v>
      </c>
    </row>
    <row r="124" spans="1:8">
      <c r="A124" t="s">
        <v>358</v>
      </c>
      <c r="B124">
        <v>0</v>
      </c>
      <c r="C124">
        <v>119</v>
      </c>
      <c r="D124">
        <v>686</v>
      </c>
      <c r="E124">
        <v>2</v>
      </c>
      <c r="F124">
        <v>33</v>
      </c>
      <c r="G124">
        <v>88</v>
      </c>
      <c r="H124" t="s">
        <v>380</v>
      </c>
    </row>
    <row r="125" spans="1:8">
      <c r="A125" t="s">
        <v>358</v>
      </c>
      <c r="B125">
        <v>0</v>
      </c>
      <c r="C125">
        <v>119</v>
      </c>
      <c r="D125">
        <v>686</v>
      </c>
      <c r="E125">
        <v>3</v>
      </c>
      <c r="F125">
        <v>81</v>
      </c>
      <c r="G125">
        <v>97</v>
      </c>
      <c r="H125" t="s">
        <v>381</v>
      </c>
    </row>
    <row r="126" spans="1:8">
      <c r="A126" t="s">
        <v>358</v>
      </c>
      <c r="B126">
        <v>0</v>
      </c>
      <c r="C126">
        <v>119</v>
      </c>
      <c r="D126">
        <v>686</v>
      </c>
      <c r="E126">
        <v>4</v>
      </c>
      <c r="F126">
        <v>115</v>
      </c>
      <c r="G126">
        <v>103</v>
      </c>
      <c r="H126" t="s">
        <v>382</v>
      </c>
    </row>
    <row r="127" spans="1:8">
      <c r="A127" t="s">
        <v>358</v>
      </c>
      <c r="B127">
        <v>0</v>
      </c>
      <c r="C127">
        <v>119</v>
      </c>
      <c r="D127">
        <v>686</v>
      </c>
      <c r="E127">
        <v>5</v>
      </c>
      <c r="F127">
        <v>89</v>
      </c>
      <c r="G127">
        <v>82</v>
      </c>
      <c r="H127" t="s">
        <v>383</v>
      </c>
    </row>
    <row r="128" spans="1:8">
      <c r="A128" t="s">
        <v>358</v>
      </c>
      <c r="B128">
        <v>0</v>
      </c>
      <c r="C128">
        <v>119</v>
      </c>
      <c r="D128">
        <v>686</v>
      </c>
      <c r="E128">
        <v>6</v>
      </c>
      <c r="F128">
        <v>40</v>
      </c>
      <c r="G128">
        <v>125</v>
      </c>
      <c r="H128" t="s">
        <v>384</v>
      </c>
    </row>
    <row r="129" spans="1:8">
      <c r="A129" t="s">
        <v>358</v>
      </c>
      <c r="B129">
        <v>0</v>
      </c>
      <c r="C129">
        <v>139</v>
      </c>
      <c r="D129">
        <v>644</v>
      </c>
      <c r="E129">
        <v>0</v>
      </c>
      <c r="F129">
        <v>95</v>
      </c>
      <c r="G129">
        <v>83</v>
      </c>
      <c r="H129" t="s">
        <v>385</v>
      </c>
    </row>
    <row r="130" spans="1:8">
      <c r="A130" t="s">
        <v>358</v>
      </c>
      <c r="B130">
        <v>0</v>
      </c>
      <c r="C130">
        <v>139</v>
      </c>
      <c r="D130">
        <v>644</v>
      </c>
      <c r="E130">
        <v>1</v>
      </c>
      <c r="F130">
        <v>60</v>
      </c>
      <c r="G130">
        <v>106</v>
      </c>
      <c r="H130" t="s">
        <v>386</v>
      </c>
    </row>
    <row r="131" spans="1:8">
      <c r="A131" t="s">
        <v>358</v>
      </c>
      <c r="B131">
        <v>0</v>
      </c>
      <c r="C131">
        <v>139</v>
      </c>
      <c r="D131">
        <v>644</v>
      </c>
      <c r="E131">
        <v>2</v>
      </c>
      <c r="F131">
        <v>115</v>
      </c>
      <c r="G131">
        <v>103</v>
      </c>
      <c r="H131" t="s">
        <v>382</v>
      </c>
    </row>
    <row r="132" spans="1:8">
      <c r="A132" t="s">
        <v>358</v>
      </c>
      <c r="B132">
        <v>0</v>
      </c>
      <c r="C132">
        <v>139</v>
      </c>
      <c r="D132">
        <v>644</v>
      </c>
      <c r="E132">
        <v>3</v>
      </c>
      <c r="F132">
        <v>106</v>
      </c>
      <c r="G132">
        <v>87</v>
      </c>
      <c r="H132" t="s">
        <v>387</v>
      </c>
    </row>
    <row r="133" spans="1:8">
      <c r="A133" t="s">
        <v>358</v>
      </c>
      <c r="B133">
        <v>0</v>
      </c>
      <c r="C133">
        <v>139</v>
      </c>
      <c r="D133">
        <v>644</v>
      </c>
      <c r="E133">
        <v>4</v>
      </c>
      <c r="F133">
        <v>33</v>
      </c>
      <c r="G133">
        <v>88</v>
      </c>
      <c r="H133" t="s">
        <v>380</v>
      </c>
    </row>
    <row r="134" spans="1:8">
      <c r="A134" t="s">
        <v>358</v>
      </c>
      <c r="B134">
        <v>0</v>
      </c>
      <c r="C134">
        <v>139</v>
      </c>
      <c r="D134">
        <v>644</v>
      </c>
      <c r="E134">
        <v>5</v>
      </c>
      <c r="F134">
        <v>126</v>
      </c>
      <c r="G134">
        <v>77</v>
      </c>
      <c r="H134" t="s">
        <v>388</v>
      </c>
    </row>
    <row r="135" spans="1:8">
      <c r="A135" t="s">
        <v>358</v>
      </c>
      <c r="B135">
        <v>0</v>
      </c>
      <c r="C135">
        <v>139</v>
      </c>
      <c r="D135">
        <v>644</v>
      </c>
      <c r="E135">
        <v>6</v>
      </c>
      <c r="F135">
        <v>123</v>
      </c>
      <c r="G135">
        <v>97</v>
      </c>
      <c r="H135" t="s">
        <v>389</v>
      </c>
    </row>
    <row r="136" spans="1:8">
      <c r="A136" t="s">
        <v>358</v>
      </c>
      <c r="B136">
        <v>0</v>
      </c>
      <c r="C136">
        <v>159</v>
      </c>
      <c r="D136">
        <v>594</v>
      </c>
      <c r="E136">
        <v>0</v>
      </c>
      <c r="F136">
        <v>156</v>
      </c>
      <c r="G136">
        <v>92</v>
      </c>
      <c r="H136" t="s">
        <v>390</v>
      </c>
    </row>
    <row r="137" spans="1:8">
      <c r="A137" t="s">
        <v>358</v>
      </c>
      <c r="B137">
        <v>0</v>
      </c>
      <c r="C137">
        <v>159</v>
      </c>
      <c r="D137">
        <v>594</v>
      </c>
      <c r="E137">
        <v>1</v>
      </c>
      <c r="F137">
        <v>35</v>
      </c>
      <c r="G137">
        <v>94</v>
      </c>
      <c r="H137" t="s">
        <v>379</v>
      </c>
    </row>
    <row r="138" spans="1:8">
      <c r="A138" t="s">
        <v>358</v>
      </c>
      <c r="B138">
        <v>0</v>
      </c>
      <c r="C138">
        <v>159</v>
      </c>
      <c r="D138">
        <v>594</v>
      </c>
      <c r="E138">
        <v>2</v>
      </c>
      <c r="F138">
        <v>33</v>
      </c>
      <c r="G138">
        <v>88</v>
      </c>
      <c r="H138" t="s">
        <v>380</v>
      </c>
    </row>
    <row r="139" spans="1:8">
      <c r="A139" t="s">
        <v>358</v>
      </c>
      <c r="B139">
        <v>0</v>
      </c>
      <c r="C139">
        <v>159</v>
      </c>
      <c r="D139">
        <v>594</v>
      </c>
      <c r="E139">
        <v>3</v>
      </c>
      <c r="F139">
        <v>133</v>
      </c>
      <c r="G139">
        <v>38</v>
      </c>
      <c r="H139" t="s">
        <v>391</v>
      </c>
    </row>
    <row r="140" spans="1:8">
      <c r="A140" t="s">
        <v>358</v>
      </c>
      <c r="B140">
        <v>0</v>
      </c>
      <c r="C140">
        <v>159</v>
      </c>
      <c r="D140">
        <v>594</v>
      </c>
      <c r="E140">
        <v>4</v>
      </c>
      <c r="F140">
        <v>115</v>
      </c>
      <c r="G140">
        <v>103</v>
      </c>
      <c r="H140" t="s">
        <v>382</v>
      </c>
    </row>
    <row r="141" spans="1:8">
      <c r="A141" t="s">
        <v>358</v>
      </c>
      <c r="B141">
        <v>0</v>
      </c>
      <c r="C141">
        <v>159</v>
      </c>
      <c r="D141">
        <v>594</v>
      </c>
      <c r="E141">
        <v>5</v>
      </c>
      <c r="F141">
        <v>86</v>
      </c>
      <c r="G141">
        <v>79</v>
      </c>
      <c r="H141" t="s">
        <v>392</v>
      </c>
    </row>
    <row r="142" spans="1:8">
      <c r="A142" t="s">
        <v>358</v>
      </c>
      <c r="B142">
        <v>0</v>
      </c>
      <c r="C142">
        <v>159</v>
      </c>
      <c r="D142">
        <v>594</v>
      </c>
      <c r="E142">
        <v>6</v>
      </c>
      <c r="F142">
        <v>123</v>
      </c>
      <c r="G142">
        <v>97</v>
      </c>
      <c r="H142" t="s">
        <v>389</v>
      </c>
    </row>
    <row r="143" spans="1:8">
      <c r="A143" t="s">
        <v>358</v>
      </c>
      <c r="B143">
        <v>0</v>
      </c>
      <c r="C143">
        <v>179</v>
      </c>
      <c r="D143">
        <v>584</v>
      </c>
      <c r="E143">
        <v>0</v>
      </c>
      <c r="F143">
        <v>116</v>
      </c>
      <c r="G143">
        <v>106</v>
      </c>
      <c r="H143" t="s">
        <v>393</v>
      </c>
    </row>
    <row r="144" spans="1:8">
      <c r="A144" t="s">
        <v>358</v>
      </c>
      <c r="B144">
        <v>0</v>
      </c>
      <c r="C144">
        <v>179</v>
      </c>
      <c r="D144">
        <v>584</v>
      </c>
      <c r="E144">
        <v>1</v>
      </c>
      <c r="F144">
        <v>33</v>
      </c>
      <c r="G144">
        <v>88</v>
      </c>
      <c r="H144" t="s">
        <v>380</v>
      </c>
    </row>
    <row r="145" spans="1:8">
      <c r="A145" t="s">
        <v>358</v>
      </c>
      <c r="B145">
        <v>0</v>
      </c>
      <c r="C145">
        <v>179</v>
      </c>
      <c r="D145">
        <v>584</v>
      </c>
      <c r="E145">
        <v>2</v>
      </c>
      <c r="F145">
        <v>181</v>
      </c>
      <c r="G145">
        <v>80</v>
      </c>
      <c r="H145" t="s">
        <v>394</v>
      </c>
    </row>
    <row r="146" spans="1:8">
      <c r="A146" t="s">
        <v>358</v>
      </c>
      <c r="B146">
        <v>0</v>
      </c>
      <c r="C146">
        <v>179</v>
      </c>
      <c r="D146">
        <v>584</v>
      </c>
      <c r="E146">
        <v>3</v>
      </c>
      <c r="F146">
        <v>123</v>
      </c>
      <c r="G146">
        <v>97</v>
      </c>
      <c r="H146" t="s">
        <v>389</v>
      </c>
    </row>
    <row r="147" spans="1:8">
      <c r="A147" t="s">
        <v>358</v>
      </c>
      <c r="B147">
        <v>0</v>
      </c>
      <c r="C147">
        <v>179</v>
      </c>
      <c r="D147">
        <v>584</v>
      </c>
      <c r="E147">
        <v>4</v>
      </c>
      <c r="F147">
        <v>86</v>
      </c>
      <c r="G147">
        <v>79</v>
      </c>
      <c r="H147" t="s">
        <v>392</v>
      </c>
    </row>
    <row r="148" spans="1:8">
      <c r="A148" t="s">
        <v>358</v>
      </c>
      <c r="B148">
        <v>0</v>
      </c>
      <c r="C148">
        <v>179</v>
      </c>
      <c r="D148">
        <v>584</v>
      </c>
      <c r="E148">
        <v>5</v>
      </c>
      <c r="F148">
        <v>35</v>
      </c>
      <c r="G148">
        <v>94</v>
      </c>
      <c r="H148" t="s">
        <v>379</v>
      </c>
    </row>
    <row r="149" spans="1:8">
      <c r="A149" t="s">
        <v>358</v>
      </c>
      <c r="B149">
        <v>0</v>
      </c>
      <c r="C149">
        <v>179</v>
      </c>
      <c r="D149">
        <v>584</v>
      </c>
      <c r="E149">
        <v>6</v>
      </c>
      <c r="F149">
        <v>133</v>
      </c>
      <c r="G149">
        <v>38</v>
      </c>
      <c r="H149" t="s">
        <v>391</v>
      </c>
    </row>
    <row r="150" spans="1:8">
      <c r="A150" t="s">
        <v>358</v>
      </c>
      <c r="B150">
        <v>0</v>
      </c>
      <c r="C150">
        <v>119</v>
      </c>
      <c r="D150">
        <v>686</v>
      </c>
      <c r="E150">
        <v>0</v>
      </c>
      <c r="F150">
        <v>19</v>
      </c>
      <c r="G150">
        <v>93</v>
      </c>
      <c r="H150" t="s">
        <v>378</v>
      </c>
    </row>
    <row r="151" spans="1:8">
      <c r="A151" t="s">
        <v>358</v>
      </c>
      <c r="B151">
        <v>0</v>
      </c>
      <c r="C151">
        <v>119</v>
      </c>
      <c r="D151">
        <v>686</v>
      </c>
      <c r="E151">
        <v>1</v>
      </c>
      <c r="F151">
        <v>35</v>
      </c>
      <c r="G151">
        <v>94</v>
      </c>
      <c r="H151" t="s">
        <v>379</v>
      </c>
    </row>
    <row r="152" spans="1:8">
      <c r="A152" t="s">
        <v>358</v>
      </c>
      <c r="B152">
        <v>0</v>
      </c>
      <c r="C152">
        <v>119</v>
      </c>
      <c r="D152">
        <v>686</v>
      </c>
      <c r="E152">
        <v>2</v>
      </c>
      <c r="F152">
        <v>33</v>
      </c>
      <c r="G152">
        <v>88</v>
      </c>
      <c r="H152" t="s">
        <v>380</v>
      </c>
    </row>
    <row r="153" spans="1:8">
      <c r="A153" t="s">
        <v>358</v>
      </c>
      <c r="B153">
        <v>0</v>
      </c>
      <c r="C153">
        <v>119</v>
      </c>
      <c r="D153">
        <v>686</v>
      </c>
      <c r="E153">
        <v>3</v>
      </c>
      <c r="F153">
        <v>81</v>
      </c>
      <c r="G153">
        <v>97</v>
      </c>
      <c r="H153" t="s">
        <v>381</v>
      </c>
    </row>
    <row r="154" spans="1:8">
      <c r="A154" t="s">
        <v>358</v>
      </c>
      <c r="B154">
        <v>0</v>
      </c>
      <c r="C154">
        <v>119</v>
      </c>
      <c r="D154">
        <v>686</v>
      </c>
      <c r="E154">
        <v>4</v>
      </c>
      <c r="F154">
        <v>115</v>
      </c>
      <c r="G154">
        <v>103</v>
      </c>
      <c r="H154" t="s">
        <v>382</v>
      </c>
    </row>
    <row r="155" spans="1:8">
      <c r="A155" t="s">
        <v>358</v>
      </c>
      <c r="B155">
        <v>0</v>
      </c>
      <c r="C155">
        <v>119</v>
      </c>
      <c r="D155">
        <v>686</v>
      </c>
      <c r="E155">
        <v>5</v>
      </c>
      <c r="F155">
        <v>89</v>
      </c>
      <c r="G155">
        <v>82</v>
      </c>
      <c r="H155" t="s">
        <v>383</v>
      </c>
    </row>
    <row r="156" spans="1:8">
      <c r="A156" t="s">
        <v>358</v>
      </c>
      <c r="B156">
        <v>0</v>
      </c>
      <c r="C156">
        <v>119</v>
      </c>
      <c r="D156">
        <v>686</v>
      </c>
      <c r="E156">
        <v>6</v>
      </c>
      <c r="F156">
        <v>40</v>
      </c>
      <c r="G156">
        <v>125</v>
      </c>
      <c r="H156" t="s">
        <v>384</v>
      </c>
    </row>
    <row r="157" spans="1:8">
      <c r="A157" t="s">
        <v>358</v>
      </c>
      <c r="B157">
        <v>0</v>
      </c>
      <c r="C157">
        <v>139</v>
      </c>
      <c r="D157">
        <v>644</v>
      </c>
      <c r="E157">
        <v>0</v>
      </c>
      <c r="F157">
        <v>95</v>
      </c>
      <c r="G157">
        <v>83</v>
      </c>
      <c r="H157" t="s">
        <v>385</v>
      </c>
    </row>
    <row r="158" spans="1:8">
      <c r="A158" t="s">
        <v>358</v>
      </c>
      <c r="B158">
        <v>0</v>
      </c>
      <c r="C158">
        <v>139</v>
      </c>
      <c r="D158">
        <v>644</v>
      </c>
      <c r="E158">
        <v>1</v>
      </c>
      <c r="F158">
        <v>60</v>
      </c>
      <c r="G158">
        <v>106</v>
      </c>
      <c r="H158" t="s">
        <v>386</v>
      </c>
    </row>
    <row r="159" spans="1:8">
      <c r="A159" t="s">
        <v>358</v>
      </c>
      <c r="B159">
        <v>0</v>
      </c>
      <c r="C159">
        <v>139</v>
      </c>
      <c r="D159">
        <v>644</v>
      </c>
      <c r="E159">
        <v>2</v>
      </c>
      <c r="F159">
        <v>115</v>
      </c>
      <c r="G159">
        <v>103</v>
      </c>
      <c r="H159" t="s">
        <v>382</v>
      </c>
    </row>
    <row r="160" spans="1:8">
      <c r="A160" t="s">
        <v>358</v>
      </c>
      <c r="B160">
        <v>0</v>
      </c>
      <c r="C160">
        <v>139</v>
      </c>
      <c r="D160">
        <v>644</v>
      </c>
      <c r="E160">
        <v>3</v>
      </c>
      <c r="F160">
        <v>106</v>
      </c>
      <c r="G160">
        <v>87</v>
      </c>
      <c r="H160" t="s">
        <v>387</v>
      </c>
    </row>
    <row r="161" spans="1:8">
      <c r="A161" t="s">
        <v>358</v>
      </c>
      <c r="B161">
        <v>0</v>
      </c>
      <c r="C161">
        <v>139</v>
      </c>
      <c r="D161">
        <v>644</v>
      </c>
      <c r="E161">
        <v>4</v>
      </c>
      <c r="F161">
        <v>33</v>
      </c>
      <c r="G161">
        <v>88</v>
      </c>
      <c r="H161" t="s">
        <v>380</v>
      </c>
    </row>
    <row r="162" spans="1:8">
      <c r="A162" t="s">
        <v>358</v>
      </c>
      <c r="B162">
        <v>0</v>
      </c>
      <c r="C162">
        <v>139</v>
      </c>
      <c r="D162">
        <v>644</v>
      </c>
      <c r="E162">
        <v>5</v>
      </c>
      <c r="F162">
        <v>126</v>
      </c>
      <c r="G162">
        <v>77</v>
      </c>
      <c r="H162" t="s">
        <v>388</v>
      </c>
    </row>
    <row r="163" spans="1:8">
      <c r="A163" t="s">
        <v>358</v>
      </c>
      <c r="B163">
        <v>0</v>
      </c>
      <c r="C163">
        <v>139</v>
      </c>
      <c r="D163">
        <v>644</v>
      </c>
      <c r="E163">
        <v>6</v>
      </c>
      <c r="F163">
        <v>123</v>
      </c>
      <c r="G163">
        <v>97</v>
      </c>
      <c r="H163" t="s">
        <v>389</v>
      </c>
    </row>
    <row r="164" spans="1:8">
      <c r="A164" t="s">
        <v>358</v>
      </c>
      <c r="B164">
        <v>0</v>
      </c>
      <c r="C164">
        <v>159</v>
      </c>
      <c r="D164">
        <v>594</v>
      </c>
      <c r="E164">
        <v>0</v>
      </c>
      <c r="F164">
        <v>156</v>
      </c>
      <c r="G164">
        <v>92</v>
      </c>
      <c r="H164" t="s">
        <v>390</v>
      </c>
    </row>
    <row r="165" spans="1:8">
      <c r="A165" t="s">
        <v>358</v>
      </c>
      <c r="B165">
        <v>0</v>
      </c>
      <c r="C165">
        <v>159</v>
      </c>
      <c r="D165">
        <v>594</v>
      </c>
      <c r="E165">
        <v>1</v>
      </c>
      <c r="F165">
        <v>35</v>
      </c>
      <c r="G165">
        <v>94</v>
      </c>
      <c r="H165" t="s">
        <v>379</v>
      </c>
    </row>
    <row r="166" spans="1:8">
      <c r="A166" t="s">
        <v>358</v>
      </c>
      <c r="B166">
        <v>0</v>
      </c>
      <c r="C166">
        <v>159</v>
      </c>
      <c r="D166">
        <v>594</v>
      </c>
      <c r="E166">
        <v>2</v>
      </c>
      <c r="F166">
        <v>33</v>
      </c>
      <c r="G166">
        <v>88</v>
      </c>
      <c r="H166" t="s">
        <v>380</v>
      </c>
    </row>
    <row r="167" spans="1:8">
      <c r="A167" t="s">
        <v>358</v>
      </c>
      <c r="B167">
        <v>0</v>
      </c>
      <c r="C167">
        <v>159</v>
      </c>
      <c r="D167">
        <v>594</v>
      </c>
      <c r="E167">
        <v>3</v>
      </c>
      <c r="F167">
        <v>133</v>
      </c>
      <c r="G167">
        <v>38</v>
      </c>
      <c r="H167" t="s">
        <v>391</v>
      </c>
    </row>
    <row r="168" spans="1:8">
      <c r="A168" t="s">
        <v>358</v>
      </c>
      <c r="B168">
        <v>0</v>
      </c>
      <c r="C168">
        <v>159</v>
      </c>
      <c r="D168">
        <v>594</v>
      </c>
      <c r="E168">
        <v>4</v>
      </c>
      <c r="F168">
        <v>115</v>
      </c>
      <c r="G168">
        <v>103</v>
      </c>
      <c r="H168" t="s">
        <v>382</v>
      </c>
    </row>
    <row r="169" spans="1:8">
      <c r="A169" t="s">
        <v>358</v>
      </c>
      <c r="B169">
        <v>0</v>
      </c>
      <c r="C169">
        <v>159</v>
      </c>
      <c r="D169">
        <v>594</v>
      </c>
      <c r="E169">
        <v>5</v>
      </c>
      <c r="F169">
        <v>86</v>
      </c>
      <c r="G169">
        <v>79</v>
      </c>
      <c r="H169" t="s">
        <v>392</v>
      </c>
    </row>
    <row r="170" spans="1:8">
      <c r="A170" t="s">
        <v>358</v>
      </c>
      <c r="B170">
        <v>0</v>
      </c>
      <c r="C170">
        <v>159</v>
      </c>
      <c r="D170">
        <v>594</v>
      </c>
      <c r="E170">
        <v>6</v>
      </c>
      <c r="F170">
        <v>123</v>
      </c>
      <c r="G170">
        <v>97</v>
      </c>
      <c r="H170" t="s">
        <v>389</v>
      </c>
    </row>
    <row r="171" spans="1:8">
      <c r="A171" t="s">
        <v>358</v>
      </c>
      <c r="B171">
        <v>0</v>
      </c>
      <c r="C171">
        <v>179</v>
      </c>
      <c r="D171">
        <v>584</v>
      </c>
      <c r="E171">
        <v>0</v>
      </c>
      <c r="F171">
        <v>116</v>
      </c>
      <c r="G171">
        <v>106</v>
      </c>
      <c r="H171" t="s">
        <v>393</v>
      </c>
    </row>
    <row r="172" spans="1:8">
      <c r="A172" t="s">
        <v>358</v>
      </c>
      <c r="B172">
        <v>0</v>
      </c>
      <c r="C172">
        <v>179</v>
      </c>
      <c r="D172">
        <v>584</v>
      </c>
      <c r="E172">
        <v>1</v>
      </c>
      <c r="F172">
        <v>33</v>
      </c>
      <c r="G172">
        <v>88</v>
      </c>
      <c r="H172" t="s">
        <v>380</v>
      </c>
    </row>
    <row r="173" spans="1:8">
      <c r="A173" t="s">
        <v>358</v>
      </c>
      <c r="B173">
        <v>0</v>
      </c>
      <c r="C173">
        <v>179</v>
      </c>
      <c r="D173">
        <v>584</v>
      </c>
      <c r="E173">
        <v>2</v>
      </c>
      <c r="F173">
        <v>181</v>
      </c>
      <c r="G173">
        <v>80</v>
      </c>
      <c r="H173" t="s">
        <v>394</v>
      </c>
    </row>
    <row r="174" spans="1:8">
      <c r="A174" t="s">
        <v>358</v>
      </c>
      <c r="B174">
        <v>0</v>
      </c>
      <c r="C174">
        <v>179</v>
      </c>
      <c r="D174">
        <v>584</v>
      </c>
      <c r="E174">
        <v>3</v>
      </c>
      <c r="F174">
        <v>123</v>
      </c>
      <c r="G174">
        <v>97</v>
      </c>
      <c r="H174" t="s">
        <v>389</v>
      </c>
    </row>
    <row r="175" spans="1:8">
      <c r="A175" t="s">
        <v>358</v>
      </c>
      <c r="B175">
        <v>0</v>
      </c>
      <c r="C175">
        <v>179</v>
      </c>
      <c r="D175">
        <v>584</v>
      </c>
      <c r="E175">
        <v>4</v>
      </c>
      <c r="F175">
        <v>86</v>
      </c>
      <c r="G175">
        <v>79</v>
      </c>
      <c r="H175" t="s">
        <v>392</v>
      </c>
    </row>
    <row r="176" spans="1:8">
      <c r="A176" t="s">
        <v>358</v>
      </c>
      <c r="B176">
        <v>0</v>
      </c>
      <c r="C176">
        <v>179</v>
      </c>
      <c r="D176">
        <v>584</v>
      </c>
      <c r="E176">
        <v>5</v>
      </c>
      <c r="F176">
        <v>35</v>
      </c>
      <c r="G176">
        <v>94</v>
      </c>
      <c r="H176" t="s">
        <v>379</v>
      </c>
    </row>
    <row r="177" spans="1:8">
      <c r="A177" t="s">
        <v>358</v>
      </c>
      <c r="B177">
        <v>0</v>
      </c>
      <c r="C177">
        <v>179</v>
      </c>
      <c r="D177">
        <v>584</v>
      </c>
      <c r="E177">
        <v>6</v>
      </c>
      <c r="F177">
        <v>133</v>
      </c>
      <c r="G177">
        <v>38</v>
      </c>
      <c r="H177" t="s">
        <v>391</v>
      </c>
    </row>
    <row r="178" spans="1:8">
      <c r="A178" t="s">
        <v>358</v>
      </c>
      <c r="B178">
        <v>0</v>
      </c>
      <c r="C178">
        <v>119</v>
      </c>
      <c r="D178">
        <v>686</v>
      </c>
      <c r="E178">
        <v>0</v>
      </c>
      <c r="F178">
        <v>19</v>
      </c>
      <c r="G178">
        <v>93</v>
      </c>
      <c r="H178" t="s">
        <v>378</v>
      </c>
    </row>
    <row r="179" spans="1:8">
      <c r="A179" t="s">
        <v>358</v>
      </c>
      <c r="B179">
        <v>0</v>
      </c>
      <c r="C179">
        <v>119</v>
      </c>
      <c r="D179">
        <v>686</v>
      </c>
      <c r="E179">
        <v>1</v>
      </c>
      <c r="F179">
        <v>35</v>
      </c>
      <c r="G179">
        <v>94</v>
      </c>
      <c r="H179" t="s">
        <v>379</v>
      </c>
    </row>
    <row r="180" spans="1:8">
      <c r="A180" t="s">
        <v>358</v>
      </c>
      <c r="B180">
        <v>0</v>
      </c>
      <c r="C180">
        <v>119</v>
      </c>
      <c r="D180">
        <v>686</v>
      </c>
      <c r="E180">
        <v>2</v>
      </c>
      <c r="F180">
        <v>33</v>
      </c>
      <c r="G180">
        <v>88</v>
      </c>
      <c r="H180" t="s">
        <v>380</v>
      </c>
    </row>
    <row r="181" spans="1:8">
      <c r="A181" t="s">
        <v>358</v>
      </c>
      <c r="B181">
        <v>0</v>
      </c>
      <c r="C181">
        <v>119</v>
      </c>
      <c r="D181">
        <v>686</v>
      </c>
      <c r="E181">
        <v>3</v>
      </c>
      <c r="F181">
        <v>81</v>
      </c>
      <c r="G181">
        <v>97</v>
      </c>
      <c r="H181" t="s">
        <v>381</v>
      </c>
    </row>
    <row r="182" spans="1:8">
      <c r="A182" t="s">
        <v>358</v>
      </c>
      <c r="B182">
        <v>0</v>
      </c>
      <c r="C182">
        <v>119</v>
      </c>
      <c r="D182">
        <v>686</v>
      </c>
      <c r="E182">
        <v>4</v>
      </c>
      <c r="F182">
        <v>115</v>
      </c>
      <c r="G182">
        <v>103</v>
      </c>
      <c r="H182" t="s">
        <v>382</v>
      </c>
    </row>
    <row r="183" spans="1:8">
      <c r="A183" t="s">
        <v>358</v>
      </c>
      <c r="B183">
        <v>0</v>
      </c>
      <c r="C183">
        <v>119</v>
      </c>
      <c r="D183">
        <v>686</v>
      </c>
      <c r="E183">
        <v>5</v>
      </c>
      <c r="F183">
        <v>89</v>
      </c>
      <c r="G183">
        <v>82</v>
      </c>
      <c r="H183" t="s">
        <v>383</v>
      </c>
    </row>
    <row r="184" spans="1:8">
      <c r="A184" t="s">
        <v>358</v>
      </c>
      <c r="B184">
        <v>0</v>
      </c>
      <c r="C184">
        <v>119</v>
      </c>
      <c r="D184">
        <v>686</v>
      </c>
      <c r="E184">
        <v>6</v>
      </c>
      <c r="F184">
        <v>40</v>
      </c>
      <c r="G184">
        <v>125</v>
      </c>
      <c r="H184" t="s">
        <v>384</v>
      </c>
    </row>
    <row r="185" spans="1:8">
      <c r="A185" t="s">
        <v>358</v>
      </c>
      <c r="B185">
        <v>0</v>
      </c>
      <c r="C185">
        <v>139</v>
      </c>
      <c r="D185">
        <v>644</v>
      </c>
      <c r="E185">
        <v>0</v>
      </c>
      <c r="F185">
        <v>95</v>
      </c>
      <c r="G185">
        <v>83</v>
      </c>
      <c r="H185" t="s">
        <v>385</v>
      </c>
    </row>
    <row r="186" spans="1:8">
      <c r="A186" t="s">
        <v>358</v>
      </c>
      <c r="B186">
        <v>0</v>
      </c>
      <c r="C186">
        <v>139</v>
      </c>
      <c r="D186">
        <v>644</v>
      </c>
      <c r="E186">
        <v>1</v>
      </c>
      <c r="F186">
        <v>60</v>
      </c>
      <c r="G186">
        <v>106</v>
      </c>
      <c r="H186" t="s">
        <v>386</v>
      </c>
    </row>
    <row r="187" spans="1:8">
      <c r="A187" t="s">
        <v>358</v>
      </c>
      <c r="B187">
        <v>0</v>
      </c>
      <c r="C187">
        <v>139</v>
      </c>
      <c r="D187">
        <v>644</v>
      </c>
      <c r="E187">
        <v>2</v>
      </c>
      <c r="F187">
        <v>115</v>
      </c>
      <c r="G187">
        <v>103</v>
      </c>
      <c r="H187" t="s">
        <v>382</v>
      </c>
    </row>
    <row r="188" spans="1:8">
      <c r="A188" t="s">
        <v>358</v>
      </c>
      <c r="B188">
        <v>0</v>
      </c>
      <c r="C188">
        <v>139</v>
      </c>
      <c r="D188">
        <v>644</v>
      </c>
      <c r="E188">
        <v>3</v>
      </c>
      <c r="F188">
        <v>106</v>
      </c>
      <c r="G188">
        <v>87</v>
      </c>
      <c r="H188" t="s">
        <v>387</v>
      </c>
    </row>
    <row r="189" spans="1:8">
      <c r="A189" t="s">
        <v>358</v>
      </c>
      <c r="B189">
        <v>0</v>
      </c>
      <c r="C189">
        <v>139</v>
      </c>
      <c r="D189">
        <v>644</v>
      </c>
      <c r="E189">
        <v>4</v>
      </c>
      <c r="F189">
        <v>33</v>
      </c>
      <c r="G189">
        <v>88</v>
      </c>
      <c r="H189" t="s">
        <v>380</v>
      </c>
    </row>
    <row r="190" spans="1:8">
      <c r="A190" t="s">
        <v>358</v>
      </c>
      <c r="B190">
        <v>0</v>
      </c>
      <c r="C190">
        <v>139</v>
      </c>
      <c r="D190">
        <v>644</v>
      </c>
      <c r="E190">
        <v>5</v>
      </c>
      <c r="F190">
        <v>126</v>
      </c>
      <c r="G190">
        <v>77</v>
      </c>
      <c r="H190" t="s">
        <v>388</v>
      </c>
    </row>
    <row r="191" spans="1:8">
      <c r="A191" t="s">
        <v>358</v>
      </c>
      <c r="B191">
        <v>0</v>
      </c>
      <c r="C191">
        <v>139</v>
      </c>
      <c r="D191">
        <v>644</v>
      </c>
      <c r="E191">
        <v>6</v>
      </c>
      <c r="F191">
        <v>123</v>
      </c>
      <c r="G191">
        <v>97</v>
      </c>
      <c r="H191" t="s">
        <v>389</v>
      </c>
    </row>
    <row r="192" spans="1:8">
      <c r="A192" t="s">
        <v>358</v>
      </c>
      <c r="B192">
        <v>0</v>
      </c>
      <c r="C192">
        <v>159</v>
      </c>
      <c r="D192">
        <v>594</v>
      </c>
      <c r="E192">
        <v>0</v>
      </c>
      <c r="F192">
        <v>156</v>
      </c>
      <c r="G192">
        <v>92</v>
      </c>
      <c r="H192" t="s">
        <v>390</v>
      </c>
    </row>
    <row r="193" spans="1:8">
      <c r="A193" t="s">
        <v>358</v>
      </c>
      <c r="B193">
        <v>0</v>
      </c>
      <c r="C193">
        <v>159</v>
      </c>
      <c r="D193">
        <v>594</v>
      </c>
      <c r="E193">
        <v>1</v>
      </c>
      <c r="F193">
        <v>35</v>
      </c>
      <c r="G193">
        <v>94</v>
      </c>
      <c r="H193" t="s">
        <v>379</v>
      </c>
    </row>
    <row r="194" spans="1:8">
      <c r="A194" t="s">
        <v>358</v>
      </c>
      <c r="B194">
        <v>0</v>
      </c>
      <c r="C194">
        <v>159</v>
      </c>
      <c r="D194">
        <v>594</v>
      </c>
      <c r="E194">
        <v>2</v>
      </c>
      <c r="F194">
        <v>33</v>
      </c>
      <c r="G194">
        <v>88</v>
      </c>
      <c r="H194" t="s">
        <v>380</v>
      </c>
    </row>
    <row r="195" spans="1:8">
      <c r="A195" t="s">
        <v>358</v>
      </c>
      <c r="B195">
        <v>0</v>
      </c>
      <c r="C195">
        <v>159</v>
      </c>
      <c r="D195">
        <v>594</v>
      </c>
      <c r="E195">
        <v>3</v>
      </c>
      <c r="F195">
        <v>133</v>
      </c>
      <c r="G195">
        <v>38</v>
      </c>
      <c r="H195" t="s">
        <v>391</v>
      </c>
    </row>
    <row r="196" spans="1:8">
      <c r="A196" t="s">
        <v>358</v>
      </c>
      <c r="B196">
        <v>0</v>
      </c>
      <c r="C196">
        <v>159</v>
      </c>
      <c r="D196">
        <v>594</v>
      </c>
      <c r="E196">
        <v>4</v>
      </c>
      <c r="F196">
        <v>115</v>
      </c>
      <c r="G196">
        <v>103</v>
      </c>
      <c r="H196" t="s">
        <v>382</v>
      </c>
    </row>
    <row r="197" spans="1:8">
      <c r="A197" t="s">
        <v>358</v>
      </c>
      <c r="B197">
        <v>0</v>
      </c>
      <c r="C197">
        <v>159</v>
      </c>
      <c r="D197">
        <v>594</v>
      </c>
      <c r="E197">
        <v>5</v>
      </c>
      <c r="F197">
        <v>86</v>
      </c>
      <c r="G197">
        <v>79</v>
      </c>
      <c r="H197" t="s">
        <v>392</v>
      </c>
    </row>
    <row r="198" spans="1:8">
      <c r="A198" t="s">
        <v>358</v>
      </c>
      <c r="B198">
        <v>0</v>
      </c>
      <c r="C198">
        <v>159</v>
      </c>
      <c r="D198">
        <v>594</v>
      </c>
      <c r="E198">
        <v>6</v>
      </c>
      <c r="F198">
        <v>123</v>
      </c>
      <c r="G198">
        <v>97</v>
      </c>
      <c r="H198" t="s">
        <v>389</v>
      </c>
    </row>
    <row r="199" spans="1:8">
      <c r="A199" t="s">
        <v>358</v>
      </c>
      <c r="B199">
        <v>0</v>
      </c>
      <c r="C199">
        <v>179</v>
      </c>
      <c r="D199">
        <v>584</v>
      </c>
      <c r="E199">
        <v>0</v>
      </c>
      <c r="F199">
        <v>116</v>
      </c>
      <c r="G199">
        <v>106</v>
      </c>
      <c r="H199" t="s">
        <v>393</v>
      </c>
    </row>
    <row r="200" spans="1:8">
      <c r="A200" t="s">
        <v>358</v>
      </c>
      <c r="B200">
        <v>0</v>
      </c>
      <c r="C200">
        <v>179</v>
      </c>
      <c r="D200">
        <v>584</v>
      </c>
      <c r="E200">
        <v>1</v>
      </c>
      <c r="F200">
        <v>33</v>
      </c>
      <c r="G200">
        <v>88</v>
      </c>
      <c r="H200" t="s">
        <v>380</v>
      </c>
    </row>
    <row r="201" spans="1:8">
      <c r="A201" t="s">
        <v>358</v>
      </c>
      <c r="B201">
        <v>0</v>
      </c>
      <c r="C201">
        <v>179</v>
      </c>
      <c r="D201">
        <v>584</v>
      </c>
      <c r="E201">
        <v>2</v>
      </c>
      <c r="F201">
        <v>181</v>
      </c>
      <c r="G201">
        <v>80</v>
      </c>
      <c r="H201" t="s">
        <v>394</v>
      </c>
    </row>
    <row r="202" spans="1:8">
      <c r="A202" t="s">
        <v>358</v>
      </c>
      <c r="B202">
        <v>0</v>
      </c>
      <c r="C202">
        <v>179</v>
      </c>
      <c r="D202">
        <v>584</v>
      </c>
      <c r="E202">
        <v>3</v>
      </c>
      <c r="F202">
        <v>123</v>
      </c>
      <c r="G202">
        <v>97</v>
      </c>
      <c r="H202" t="s">
        <v>389</v>
      </c>
    </row>
    <row r="203" spans="1:8">
      <c r="A203" t="s">
        <v>358</v>
      </c>
      <c r="B203">
        <v>0</v>
      </c>
      <c r="C203">
        <v>179</v>
      </c>
      <c r="D203">
        <v>584</v>
      </c>
      <c r="E203">
        <v>4</v>
      </c>
      <c r="F203">
        <v>86</v>
      </c>
      <c r="G203">
        <v>79</v>
      </c>
      <c r="H203" t="s">
        <v>392</v>
      </c>
    </row>
    <row r="204" spans="1:8">
      <c r="A204" t="s">
        <v>358</v>
      </c>
      <c r="B204">
        <v>0</v>
      </c>
      <c r="C204">
        <v>179</v>
      </c>
      <c r="D204">
        <v>584</v>
      </c>
      <c r="E204">
        <v>5</v>
      </c>
      <c r="F204">
        <v>35</v>
      </c>
      <c r="G204">
        <v>94</v>
      </c>
      <c r="H204" t="s">
        <v>379</v>
      </c>
    </row>
    <row r="205" spans="1:8">
      <c r="A205" t="s">
        <v>358</v>
      </c>
      <c r="B205">
        <v>0</v>
      </c>
      <c r="C205">
        <v>179</v>
      </c>
      <c r="D205">
        <v>584</v>
      </c>
      <c r="E205">
        <v>6</v>
      </c>
      <c r="F205">
        <v>133</v>
      </c>
      <c r="G205">
        <v>38</v>
      </c>
      <c r="H205" t="s">
        <v>391</v>
      </c>
    </row>
    <row r="206" spans="1:8">
      <c r="A206" t="s">
        <v>358</v>
      </c>
      <c r="B206">
        <v>0</v>
      </c>
      <c r="C206">
        <v>119</v>
      </c>
      <c r="D206">
        <v>686</v>
      </c>
      <c r="E206">
        <v>0</v>
      </c>
      <c r="F206">
        <v>19</v>
      </c>
      <c r="G206">
        <v>93</v>
      </c>
      <c r="H206" t="s">
        <v>378</v>
      </c>
    </row>
    <row r="207" spans="1:8">
      <c r="A207" t="s">
        <v>358</v>
      </c>
      <c r="B207">
        <v>0</v>
      </c>
      <c r="C207">
        <v>119</v>
      </c>
      <c r="D207">
        <v>686</v>
      </c>
      <c r="E207">
        <v>1</v>
      </c>
      <c r="F207">
        <v>35</v>
      </c>
      <c r="G207">
        <v>94</v>
      </c>
      <c r="H207" t="s">
        <v>379</v>
      </c>
    </row>
    <row r="208" spans="1:8">
      <c r="A208" t="s">
        <v>358</v>
      </c>
      <c r="B208">
        <v>0</v>
      </c>
      <c r="C208">
        <v>119</v>
      </c>
      <c r="D208">
        <v>686</v>
      </c>
      <c r="E208">
        <v>2</v>
      </c>
      <c r="F208">
        <v>33</v>
      </c>
      <c r="G208">
        <v>88</v>
      </c>
      <c r="H208" t="s">
        <v>380</v>
      </c>
    </row>
    <row r="209" spans="1:8">
      <c r="A209" t="s">
        <v>358</v>
      </c>
      <c r="B209">
        <v>0</v>
      </c>
      <c r="C209">
        <v>119</v>
      </c>
      <c r="D209">
        <v>686</v>
      </c>
      <c r="E209">
        <v>3</v>
      </c>
      <c r="F209">
        <v>81</v>
      </c>
      <c r="G209">
        <v>97</v>
      </c>
      <c r="H209" t="s">
        <v>381</v>
      </c>
    </row>
    <row r="210" spans="1:8">
      <c r="A210" t="s">
        <v>358</v>
      </c>
      <c r="B210">
        <v>0</v>
      </c>
      <c r="C210">
        <v>119</v>
      </c>
      <c r="D210">
        <v>686</v>
      </c>
      <c r="E210">
        <v>4</v>
      </c>
      <c r="F210">
        <v>115</v>
      </c>
      <c r="G210">
        <v>103</v>
      </c>
      <c r="H210" t="s">
        <v>382</v>
      </c>
    </row>
    <row r="211" spans="1:8">
      <c r="A211" t="s">
        <v>358</v>
      </c>
      <c r="B211">
        <v>0</v>
      </c>
      <c r="C211">
        <v>119</v>
      </c>
      <c r="D211">
        <v>686</v>
      </c>
      <c r="E211">
        <v>5</v>
      </c>
      <c r="F211">
        <v>89</v>
      </c>
      <c r="G211">
        <v>82</v>
      </c>
      <c r="H211" t="s">
        <v>383</v>
      </c>
    </row>
    <row r="212" spans="1:8">
      <c r="A212" t="s">
        <v>358</v>
      </c>
      <c r="B212">
        <v>0</v>
      </c>
      <c r="C212">
        <v>119</v>
      </c>
      <c r="D212">
        <v>686</v>
      </c>
      <c r="E212">
        <v>6</v>
      </c>
      <c r="F212">
        <v>40</v>
      </c>
      <c r="G212">
        <v>125</v>
      </c>
      <c r="H212" t="s">
        <v>384</v>
      </c>
    </row>
    <row r="213" spans="1:8">
      <c r="A213" t="s">
        <v>358</v>
      </c>
      <c r="B213">
        <v>0</v>
      </c>
      <c r="C213">
        <v>139</v>
      </c>
      <c r="D213">
        <v>644</v>
      </c>
      <c r="E213">
        <v>0</v>
      </c>
      <c r="F213">
        <v>95</v>
      </c>
      <c r="G213">
        <v>83</v>
      </c>
      <c r="H213" t="s">
        <v>385</v>
      </c>
    </row>
    <row r="214" spans="1:8">
      <c r="A214" t="s">
        <v>358</v>
      </c>
      <c r="B214">
        <v>0</v>
      </c>
      <c r="C214">
        <v>139</v>
      </c>
      <c r="D214">
        <v>644</v>
      </c>
      <c r="E214">
        <v>1</v>
      </c>
      <c r="F214">
        <v>60</v>
      </c>
      <c r="G214">
        <v>106</v>
      </c>
      <c r="H214" t="s">
        <v>386</v>
      </c>
    </row>
    <row r="215" spans="1:8">
      <c r="A215" t="s">
        <v>358</v>
      </c>
      <c r="B215">
        <v>0</v>
      </c>
      <c r="C215">
        <v>139</v>
      </c>
      <c r="D215">
        <v>644</v>
      </c>
      <c r="E215">
        <v>2</v>
      </c>
      <c r="F215">
        <v>115</v>
      </c>
      <c r="G215">
        <v>103</v>
      </c>
      <c r="H215" t="s">
        <v>382</v>
      </c>
    </row>
    <row r="216" spans="1:8">
      <c r="A216" t="s">
        <v>358</v>
      </c>
      <c r="B216">
        <v>0</v>
      </c>
      <c r="C216">
        <v>139</v>
      </c>
      <c r="D216">
        <v>644</v>
      </c>
      <c r="E216">
        <v>3</v>
      </c>
      <c r="F216">
        <v>106</v>
      </c>
      <c r="G216">
        <v>87</v>
      </c>
      <c r="H216" t="s">
        <v>387</v>
      </c>
    </row>
    <row r="217" spans="1:8">
      <c r="A217" t="s">
        <v>358</v>
      </c>
      <c r="B217">
        <v>0</v>
      </c>
      <c r="C217">
        <v>139</v>
      </c>
      <c r="D217">
        <v>644</v>
      </c>
      <c r="E217">
        <v>4</v>
      </c>
      <c r="F217">
        <v>33</v>
      </c>
      <c r="G217">
        <v>88</v>
      </c>
      <c r="H217" t="s">
        <v>380</v>
      </c>
    </row>
    <row r="218" spans="1:8">
      <c r="A218" t="s">
        <v>358</v>
      </c>
      <c r="B218">
        <v>0</v>
      </c>
      <c r="C218">
        <v>139</v>
      </c>
      <c r="D218">
        <v>644</v>
      </c>
      <c r="E218">
        <v>5</v>
      </c>
      <c r="F218">
        <v>126</v>
      </c>
      <c r="G218">
        <v>77</v>
      </c>
      <c r="H218" t="s">
        <v>388</v>
      </c>
    </row>
    <row r="219" spans="1:8">
      <c r="A219" t="s">
        <v>358</v>
      </c>
      <c r="B219">
        <v>0</v>
      </c>
      <c r="C219">
        <v>139</v>
      </c>
      <c r="D219">
        <v>644</v>
      </c>
      <c r="E219">
        <v>6</v>
      </c>
      <c r="F219">
        <v>123</v>
      </c>
      <c r="G219">
        <v>97</v>
      </c>
      <c r="H219" t="s">
        <v>389</v>
      </c>
    </row>
    <row r="220" spans="1:8">
      <c r="A220" t="s">
        <v>358</v>
      </c>
      <c r="B220">
        <v>0</v>
      </c>
      <c r="C220">
        <v>159</v>
      </c>
      <c r="D220">
        <v>594</v>
      </c>
      <c r="E220">
        <v>0</v>
      </c>
      <c r="F220">
        <v>156</v>
      </c>
      <c r="G220">
        <v>92</v>
      </c>
      <c r="H220" t="s">
        <v>390</v>
      </c>
    </row>
    <row r="221" spans="1:8">
      <c r="A221" t="s">
        <v>358</v>
      </c>
      <c r="B221">
        <v>0</v>
      </c>
      <c r="C221">
        <v>159</v>
      </c>
      <c r="D221">
        <v>594</v>
      </c>
      <c r="E221">
        <v>1</v>
      </c>
      <c r="F221">
        <v>35</v>
      </c>
      <c r="G221">
        <v>94</v>
      </c>
      <c r="H221" t="s">
        <v>379</v>
      </c>
    </row>
    <row r="222" spans="1:8">
      <c r="A222" t="s">
        <v>358</v>
      </c>
      <c r="B222">
        <v>0</v>
      </c>
      <c r="C222">
        <v>159</v>
      </c>
      <c r="D222">
        <v>594</v>
      </c>
      <c r="E222">
        <v>2</v>
      </c>
      <c r="F222">
        <v>33</v>
      </c>
      <c r="G222">
        <v>88</v>
      </c>
      <c r="H222" t="s">
        <v>380</v>
      </c>
    </row>
    <row r="223" spans="1:8">
      <c r="A223" t="s">
        <v>358</v>
      </c>
      <c r="B223">
        <v>0</v>
      </c>
      <c r="C223">
        <v>159</v>
      </c>
      <c r="D223">
        <v>594</v>
      </c>
      <c r="E223">
        <v>3</v>
      </c>
      <c r="F223">
        <v>133</v>
      </c>
      <c r="G223">
        <v>38</v>
      </c>
      <c r="H223" t="s">
        <v>391</v>
      </c>
    </row>
    <row r="224" spans="1:8">
      <c r="A224" t="s">
        <v>358</v>
      </c>
      <c r="B224">
        <v>0</v>
      </c>
      <c r="C224">
        <v>159</v>
      </c>
      <c r="D224">
        <v>594</v>
      </c>
      <c r="E224">
        <v>4</v>
      </c>
      <c r="F224">
        <v>115</v>
      </c>
      <c r="G224">
        <v>103</v>
      </c>
      <c r="H224" t="s">
        <v>382</v>
      </c>
    </row>
    <row r="225" spans="1:8">
      <c r="A225" t="s">
        <v>358</v>
      </c>
      <c r="B225">
        <v>0</v>
      </c>
      <c r="C225">
        <v>159</v>
      </c>
      <c r="D225">
        <v>594</v>
      </c>
      <c r="E225">
        <v>5</v>
      </c>
      <c r="F225">
        <v>86</v>
      </c>
      <c r="G225">
        <v>79</v>
      </c>
      <c r="H225" t="s">
        <v>392</v>
      </c>
    </row>
    <row r="226" spans="1:8">
      <c r="A226" t="s">
        <v>358</v>
      </c>
      <c r="B226">
        <v>0</v>
      </c>
      <c r="C226">
        <v>159</v>
      </c>
      <c r="D226">
        <v>594</v>
      </c>
      <c r="E226">
        <v>6</v>
      </c>
      <c r="F226">
        <v>123</v>
      </c>
      <c r="G226">
        <v>97</v>
      </c>
      <c r="H226" t="s">
        <v>389</v>
      </c>
    </row>
    <row r="227" spans="1:8">
      <c r="A227" t="s">
        <v>358</v>
      </c>
      <c r="B227">
        <v>0</v>
      </c>
      <c r="C227">
        <v>179</v>
      </c>
      <c r="D227">
        <v>584</v>
      </c>
      <c r="E227">
        <v>0</v>
      </c>
      <c r="F227">
        <v>116</v>
      </c>
      <c r="G227">
        <v>106</v>
      </c>
      <c r="H227" t="s">
        <v>393</v>
      </c>
    </row>
    <row r="228" spans="1:8">
      <c r="A228" t="s">
        <v>358</v>
      </c>
      <c r="B228">
        <v>0</v>
      </c>
      <c r="C228">
        <v>179</v>
      </c>
      <c r="D228">
        <v>584</v>
      </c>
      <c r="E228">
        <v>1</v>
      </c>
      <c r="F228">
        <v>33</v>
      </c>
      <c r="G228">
        <v>88</v>
      </c>
      <c r="H228" t="s">
        <v>380</v>
      </c>
    </row>
    <row r="229" spans="1:8">
      <c r="A229" t="s">
        <v>358</v>
      </c>
      <c r="B229">
        <v>0</v>
      </c>
      <c r="C229">
        <v>179</v>
      </c>
      <c r="D229">
        <v>584</v>
      </c>
      <c r="E229">
        <v>2</v>
      </c>
      <c r="F229">
        <v>181</v>
      </c>
      <c r="G229">
        <v>80</v>
      </c>
      <c r="H229" t="s">
        <v>394</v>
      </c>
    </row>
    <row r="230" spans="1:8">
      <c r="A230" t="s">
        <v>358</v>
      </c>
      <c r="B230">
        <v>0</v>
      </c>
      <c r="C230">
        <v>179</v>
      </c>
      <c r="D230">
        <v>584</v>
      </c>
      <c r="E230">
        <v>3</v>
      </c>
      <c r="F230">
        <v>123</v>
      </c>
      <c r="G230">
        <v>97</v>
      </c>
      <c r="H230" t="s">
        <v>389</v>
      </c>
    </row>
    <row r="231" spans="1:8">
      <c r="A231" t="s">
        <v>358</v>
      </c>
      <c r="B231">
        <v>0</v>
      </c>
      <c r="C231">
        <v>179</v>
      </c>
      <c r="D231">
        <v>584</v>
      </c>
      <c r="E231">
        <v>4</v>
      </c>
      <c r="F231">
        <v>86</v>
      </c>
      <c r="G231">
        <v>79</v>
      </c>
      <c r="H231" t="s">
        <v>392</v>
      </c>
    </row>
    <row r="232" spans="1:8">
      <c r="A232" t="s">
        <v>358</v>
      </c>
      <c r="B232">
        <v>0</v>
      </c>
      <c r="C232">
        <v>179</v>
      </c>
      <c r="D232">
        <v>584</v>
      </c>
      <c r="E232">
        <v>5</v>
      </c>
      <c r="F232">
        <v>35</v>
      </c>
      <c r="G232">
        <v>94</v>
      </c>
      <c r="H232" t="s">
        <v>379</v>
      </c>
    </row>
    <row r="233" spans="1:8">
      <c r="A233" t="s">
        <v>358</v>
      </c>
      <c r="B233">
        <v>0</v>
      </c>
      <c r="C233">
        <v>179</v>
      </c>
      <c r="D233">
        <v>584</v>
      </c>
      <c r="E233">
        <v>6</v>
      </c>
      <c r="F233">
        <v>133</v>
      </c>
      <c r="G233">
        <v>38</v>
      </c>
      <c r="H233" t="s">
        <v>391</v>
      </c>
    </row>
    <row r="234" spans="1:8">
      <c r="A234" t="s">
        <v>358</v>
      </c>
      <c r="B234">
        <v>0</v>
      </c>
      <c r="C234">
        <v>179</v>
      </c>
      <c r="D234">
        <v>563</v>
      </c>
      <c r="E234">
        <v>0</v>
      </c>
      <c r="F234">
        <v>135</v>
      </c>
      <c r="G234">
        <v>90</v>
      </c>
      <c r="H234" t="s">
        <v>395</v>
      </c>
    </row>
    <row r="235" spans="1:8">
      <c r="A235" t="s">
        <v>358</v>
      </c>
      <c r="B235">
        <v>0</v>
      </c>
      <c r="C235">
        <v>179</v>
      </c>
      <c r="D235">
        <v>563</v>
      </c>
      <c r="E235">
        <v>1</v>
      </c>
      <c r="F235">
        <v>91</v>
      </c>
      <c r="G235">
        <v>138</v>
      </c>
      <c r="H235" t="s">
        <v>396</v>
      </c>
    </row>
    <row r="236" spans="1:8">
      <c r="A236" t="s">
        <v>358</v>
      </c>
      <c r="B236">
        <v>0</v>
      </c>
      <c r="C236">
        <v>179</v>
      </c>
      <c r="D236">
        <v>563</v>
      </c>
      <c r="E236">
        <v>2</v>
      </c>
      <c r="F236">
        <v>109</v>
      </c>
      <c r="G236">
        <v>111</v>
      </c>
      <c r="H236" t="s">
        <v>397</v>
      </c>
    </row>
    <row r="237" spans="1:8">
      <c r="A237" t="s">
        <v>358</v>
      </c>
      <c r="B237">
        <v>0</v>
      </c>
      <c r="C237">
        <v>179</v>
      </c>
      <c r="D237">
        <v>563</v>
      </c>
      <c r="E237">
        <v>3</v>
      </c>
      <c r="F237">
        <v>165</v>
      </c>
      <c r="G237">
        <v>117</v>
      </c>
      <c r="H237" t="s">
        <v>398</v>
      </c>
    </row>
    <row r="238" spans="1:8">
      <c r="A238" t="s">
        <v>358</v>
      </c>
      <c r="B238">
        <v>0</v>
      </c>
      <c r="C238">
        <v>179</v>
      </c>
      <c r="D238">
        <v>563</v>
      </c>
      <c r="E238">
        <v>4</v>
      </c>
      <c r="F238">
        <v>151</v>
      </c>
      <c r="G238">
        <v>105</v>
      </c>
      <c r="H238" t="s">
        <v>399</v>
      </c>
    </row>
    <row r="239" spans="1:8">
      <c r="A239" t="s">
        <v>358</v>
      </c>
      <c r="B239">
        <v>0</v>
      </c>
      <c r="C239">
        <v>259</v>
      </c>
      <c r="D239">
        <v>506</v>
      </c>
      <c r="E239">
        <v>0</v>
      </c>
      <c r="F239">
        <v>137</v>
      </c>
      <c r="G239">
        <v>58</v>
      </c>
      <c r="H239" t="s">
        <v>400</v>
      </c>
    </row>
    <row r="240" spans="1:8">
      <c r="A240" t="s">
        <v>358</v>
      </c>
      <c r="B240">
        <v>0</v>
      </c>
      <c r="C240">
        <v>259</v>
      </c>
      <c r="D240">
        <v>506</v>
      </c>
      <c r="E240">
        <v>1</v>
      </c>
      <c r="F240">
        <v>247</v>
      </c>
      <c r="G240">
        <v>99</v>
      </c>
      <c r="H240" t="s">
        <v>401</v>
      </c>
    </row>
    <row r="241" spans="1:8">
      <c r="A241" t="s">
        <v>358</v>
      </c>
      <c r="B241">
        <v>0</v>
      </c>
      <c r="C241">
        <v>259</v>
      </c>
      <c r="D241">
        <v>506</v>
      </c>
      <c r="E241">
        <v>2</v>
      </c>
      <c r="F241">
        <v>91</v>
      </c>
      <c r="G241">
        <v>138</v>
      </c>
      <c r="H241" t="s">
        <v>396</v>
      </c>
    </row>
    <row r="242" spans="1:8">
      <c r="A242" t="s">
        <v>358</v>
      </c>
      <c r="B242">
        <v>0</v>
      </c>
      <c r="C242">
        <v>259</v>
      </c>
      <c r="D242">
        <v>506</v>
      </c>
      <c r="E242">
        <v>3</v>
      </c>
      <c r="F242">
        <v>205</v>
      </c>
      <c r="G242">
        <v>106</v>
      </c>
      <c r="H242" t="s">
        <v>402</v>
      </c>
    </row>
    <row r="243" spans="1:8">
      <c r="A243" t="s">
        <v>358</v>
      </c>
      <c r="B243">
        <v>0</v>
      </c>
      <c r="C243">
        <v>259</v>
      </c>
      <c r="D243">
        <v>506</v>
      </c>
      <c r="E243">
        <v>4</v>
      </c>
      <c r="F243">
        <v>169</v>
      </c>
      <c r="G243">
        <v>104</v>
      </c>
      <c r="H243" t="s">
        <v>403</v>
      </c>
    </row>
    <row r="244" spans="1:8">
      <c r="A244" t="s">
        <v>358</v>
      </c>
      <c r="B244">
        <v>0</v>
      </c>
      <c r="C244">
        <v>279</v>
      </c>
      <c r="D244">
        <v>454</v>
      </c>
      <c r="E244">
        <v>0</v>
      </c>
      <c r="F244">
        <v>224</v>
      </c>
      <c r="G244">
        <v>131</v>
      </c>
      <c r="H244" t="s">
        <v>404</v>
      </c>
    </row>
    <row r="245" spans="1:8">
      <c r="A245" t="s">
        <v>358</v>
      </c>
      <c r="B245">
        <v>0</v>
      </c>
      <c r="C245">
        <v>279</v>
      </c>
      <c r="D245">
        <v>454</v>
      </c>
      <c r="E245">
        <v>1</v>
      </c>
      <c r="F245">
        <v>275</v>
      </c>
      <c r="G245">
        <v>99</v>
      </c>
      <c r="H245" t="s">
        <v>405</v>
      </c>
    </row>
    <row r="246" spans="1:8">
      <c r="A246" t="s">
        <v>358</v>
      </c>
      <c r="B246">
        <v>0</v>
      </c>
      <c r="C246">
        <v>279</v>
      </c>
      <c r="D246">
        <v>454</v>
      </c>
      <c r="E246">
        <v>2</v>
      </c>
      <c r="F246">
        <v>184</v>
      </c>
      <c r="G246">
        <v>29</v>
      </c>
      <c r="H246" t="s">
        <v>406</v>
      </c>
    </row>
    <row r="247" spans="1:8">
      <c r="A247" t="s">
        <v>358</v>
      </c>
      <c r="B247">
        <v>0</v>
      </c>
      <c r="C247">
        <v>279</v>
      </c>
      <c r="D247">
        <v>454</v>
      </c>
      <c r="E247">
        <v>3</v>
      </c>
      <c r="F247">
        <v>277</v>
      </c>
      <c r="G247">
        <v>104</v>
      </c>
      <c r="H247" t="s">
        <v>407</v>
      </c>
    </row>
    <row r="248" spans="1:8">
      <c r="A248" t="s">
        <v>358</v>
      </c>
      <c r="B248">
        <v>0</v>
      </c>
      <c r="C248">
        <v>279</v>
      </c>
      <c r="D248">
        <v>454</v>
      </c>
      <c r="E248">
        <v>4</v>
      </c>
      <c r="F248">
        <v>262</v>
      </c>
      <c r="G248">
        <v>89</v>
      </c>
      <c r="H248" t="s">
        <v>408</v>
      </c>
    </row>
    <row r="249" spans="1:8">
      <c r="A249" t="s">
        <v>358</v>
      </c>
      <c r="B249">
        <v>0</v>
      </c>
      <c r="C249">
        <v>19</v>
      </c>
      <c r="D249">
        <v>454</v>
      </c>
      <c r="E249">
        <v>0</v>
      </c>
      <c r="F249">
        <v>224</v>
      </c>
      <c r="G249">
        <v>131</v>
      </c>
      <c r="H249" t="s">
        <v>404</v>
      </c>
    </row>
    <row r="250" spans="1:8">
      <c r="A250" t="s">
        <v>358</v>
      </c>
      <c r="B250">
        <v>0</v>
      </c>
      <c r="C250">
        <v>19</v>
      </c>
      <c r="D250">
        <v>454</v>
      </c>
      <c r="E250">
        <v>1</v>
      </c>
      <c r="F250">
        <v>275</v>
      </c>
      <c r="G250">
        <v>99</v>
      </c>
      <c r="H250" t="s">
        <v>405</v>
      </c>
    </row>
    <row r="251" spans="1:8">
      <c r="A251" t="s">
        <v>358</v>
      </c>
      <c r="B251">
        <v>0</v>
      </c>
      <c r="C251">
        <v>19</v>
      </c>
      <c r="D251">
        <v>454</v>
      </c>
      <c r="E251">
        <v>2</v>
      </c>
      <c r="F251">
        <v>277</v>
      </c>
      <c r="G251">
        <v>104</v>
      </c>
      <c r="H251" t="s">
        <v>407</v>
      </c>
    </row>
    <row r="252" spans="1:8">
      <c r="A252" t="s">
        <v>358</v>
      </c>
      <c r="B252">
        <v>0</v>
      </c>
      <c r="C252">
        <v>19</v>
      </c>
      <c r="D252">
        <v>454</v>
      </c>
      <c r="E252">
        <v>3</v>
      </c>
      <c r="F252">
        <v>184</v>
      </c>
      <c r="G252">
        <v>29</v>
      </c>
      <c r="H252" t="s">
        <v>406</v>
      </c>
    </row>
    <row r="253" spans="1:8">
      <c r="A253" t="s">
        <v>358</v>
      </c>
      <c r="B253">
        <v>0</v>
      </c>
      <c r="C253">
        <v>19</v>
      </c>
      <c r="D253">
        <v>454</v>
      </c>
      <c r="E253">
        <v>4</v>
      </c>
      <c r="F253">
        <v>262</v>
      </c>
      <c r="G253">
        <v>89</v>
      </c>
      <c r="H253" t="s">
        <v>408</v>
      </c>
    </row>
    <row r="254" spans="1:8">
      <c r="A254" t="s">
        <v>358</v>
      </c>
      <c r="B254">
        <v>0</v>
      </c>
      <c r="C254">
        <v>41</v>
      </c>
      <c r="D254">
        <v>454</v>
      </c>
      <c r="E254">
        <v>0</v>
      </c>
      <c r="F254">
        <v>224</v>
      </c>
      <c r="G254">
        <v>131</v>
      </c>
      <c r="H254" t="s">
        <v>404</v>
      </c>
    </row>
    <row r="255" spans="1:8">
      <c r="A255" t="s">
        <v>358</v>
      </c>
      <c r="B255">
        <v>0</v>
      </c>
      <c r="C255">
        <v>41</v>
      </c>
      <c r="D255">
        <v>454</v>
      </c>
      <c r="E255">
        <v>1</v>
      </c>
      <c r="F255">
        <v>275</v>
      </c>
      <c r="G255">
        <v>99</v>
      </c>
      <c r="H255" t="s">
        <v>405</v>
      </c>
    </row>
    <row r="256" spans="1:8">
      <c r="A256" t="s">
        <v>358</v>
      </c>
      <c r="B256">
        <v>0</v>
      </c>
      <c r="C256">
        <v>41</v>
      </c>
      <c r="D256">
        <v>454</v>
      </c>
      <c r="E256">
        <v>2</v>
      </c>
      <c r="F256">
        <v>277</v>
      </c>
      <c r="G256">
        <v>104</v>
      </c>
      <c r="H256" t="s">
        <v>407</v>
      </c>
    </row>
    <row r="257" spans="1:8">
      <c r="A257" t="s">
        <v>358</v>
      </c>
      <c r="B257">
        <v>0</v>
      </c>
      <c r="C257">
        <v>41</v>
      </c>
      <c r="D257">
        <v>454</v>
      </c>
      <c r="E257">
        <v>3</v>
      </c>
      <c r="F257">
        <v>262</v>
      </c>
      <c r="G257">
        <v>89</v>
      </c>
      <c r="H257" t="s">
        <v>408</v>
      </c>
    </row>
    <row r="258" spans="1:8">
      <c r="A258" t="s">
        <v>358</v>
      </c>
      <c r="B258">
        <v>0</v>
      </c>
      <c r="C258">
        <v>41</v>
      </c>
      <c r="D258">
        <v>454</v>
      </c>
      <c r="E258">
        <v>4</v>
      </c>
      <c r="F258">
        <v>184</v>
      </c>
      <c r="G258">
        <v>29</v>
      </c>
      <c r="H258" t="s">
        <v>406</v>
      </c>
    </row>
    <row r="259" spans="1:8">
      <c r="A259" t="s">
        <v>358</v>
      </c>
      <c r="B259">
        <v>0</v>
      </c>
      <c r="C259">
        <v>179</v>
      </c>
      <c r="D259">
        <v>563</v>
      </c>
      <c r="E259">
        <v>0</v>
      </c>
      <c r="F259">
        <v>135</v>
      </c>
      <c r="G259">
        <v>90</v>
      </c>
      <c r="H259" t="s">
        <v>395</v>
      </c>
    </row>
    <row r="260" spans="1:8">
      <c r="A260" t="s">
        <v>358</v>
      </c>
      <c r="B260">
        <v>0</v>
      </c>
      <c r="C260">
        <v>179</v>
      </c>
      <c r="D260">
        <v>563</v>
      </c>
      <c r="E260">
        <v>1</v>
      </c>
      <c r="F260">
        <v>91</v>
      </c>
      <c r="G260">
        <v>138</v>
      </c>
      <c r="H260" t="s">
        <v>396</v>
      </c>
    </row>
    <row r="261" spans="1:8">
      <c r="A261" t="s">
        <v>358</v>
      </c>
      <c r="B261">
        <v>0</v>
      </c>
      <c r="C261">
        <v>179</v>
      </c>
      <c r="D261">
        <v>563</v>
      </c>
      <c r="E261">
        <v>2</v>
      </c>
      <c r="F261">
        <v>109</v>
      </c>
      <c r="G261">
        <v>111</v>
      </c>
      <c r="H261" t="s">
        <v>397</v>
      </c>
    </row>
    <row r="262" spans="1:8">
      <c r="A262" t="s">
        <v>358</v>
      </c>
      <c r="B262">
        <v>0</v>
      </c>
      <c r="C262">
        <v>179</v>
      </c>
      <c r="D262">
        <v>563</v>
      </c>
      <c r="E262">
        <v>3</v>
      </c>
      <c r="F262">
        <v>165</v>
      </c>
      <c r="G262">
        <v>117</v>
      </c>
      <c r="H262" t="s">
        <v>398</v>
      </c>
    </row>
    <row r="263" spans="1:8">
      <c r="A263" t="s">
        <v>358</v>
      </c>
      <c r="B263">
        <v>0</v>
      </c>
      <c r="C263">
        <v>179</v>
      </c>
      <c r="D263">
        <v>563</v>
      </c>
      <c r="E263">
        <v>4</v>
      </c>
      <c r="F263">
        <v>151</v>
      </c>
      <c r="G263">
        <v>105</v>
      </c>
      <c r="H263" t="s">
        <v>399</v>
      </c>
    </row>
    <row r="264" spans="1:8">
      <c r="A264" t="s">
        <v>358</v>
      </c>
      <c r="B264">
        <v>0</v>
      </c>
      <c r="C264">
        <v>259</v>
      </c>
      <c r="D264">
        <v>506</v>
      </c>
      <c r="E264">
        <v>0</v>
      </c>
      <c r="F264">
        <v>137</v>
      </c>
      <c r="G264">
        <v>58</v>
      </c>
      <c r="H264" t="s">
        <v>400</v>
      </c>
    </row>
    <row r="265" spans="1:8">
      <c r="A265" t="s">
        <v>358</v>
      </c>
      <c r="B265">
        <v>0</v>
      </c>
      <c r="C265">
        <v>259</v>
      </c>
      <c r="D265">
        <v>506</v>
      </c>
      <c r="E265">
        <v>1</v>
      </c>
      <c r="F265">
        <v>247</v>
      </c>
      <c r="G265">
        <v>99</v>
      </c>
      <c r="H265" t="s">
        <v>401</v>
      </c>
    </row>
    <row r="266" spans="1:8">
      <c r="A266" t="s">
        <v>358</v>
      </c>
      <c r="B266">
        <v>0</v>
      </c>
      <c r="C266">
        <v>259</v>
      </c>
      <c r="D266">
        <v>506</v>
      </c>
      <c r="E266">
        <v>2</v>
      </c>
      <c r="F266">
        <v>91</v>
      </c>
      <c r="G266">
        <v>138</v>
      </c>
      <c r="H266" t="s">
        <v>396</v>
      </c>
    </row>
    <row r="267" spans="1:8">
      <c r="A267" t="s">
        <v>358</v>
      </c>
      <c r="B267">
        <v>0</v>
      </c>
      <c r="C267">
        <v>259</v>
      </c>
      <c r="D267">
        <v>506</v>
      </c>
      <c r="E267">
        <v>3</v>
      </c>
      <c r="F267">
        <v>205</v>
      </c>
      <c r="G267">
        <v>106</v>
      </c>
      <c r="H267" t="s">
        <v>402</v>
      </c>
    </row>
    <row r="268" spans="1:8">
      <c r="A268" t="s">
        <v>358</v>
      </c>
      <c r="B268">
        <v>0</v>
      </c>
      <c r="C268">
        <v>259</v>
      </c>
      <c r="D268">
        <v>506</v>
      </c>
      <c r="E268">
        <v>4</v>
      </c>
      <c r="F268">
        <v>169</v>
      </c>
      <c r="G268">
        <v>104</v>
      </c>
      <c r="H268" t="s">
        <v>403</v>
      </c>
    </row>
    <row r="269" spans="1:8">
      <c r="A269" t="s">
        <v>358</v>
      </c>
      <c r="B269">
        <v>0</v>
      </c>
      <c r="C269">
        <v>279</v>
      </c>
      <c r="D269">
        <v>454</v>
      </c>
      <c r="E269">
        <v>0</v>
      </c>
      <c r="F269">
        <v>224</v>
      </c>
      <c r="G269">
        <v>131</v>
      </c>
      <c r="H269" t="s">
        <v>404</v>
      </c>
    </row>
    <row r="270" spans="1:8">
      <c r="A270" t="s">
        <v>358</v>
      </c>
      <c r="B270">
        <v>0</v>
      </c>
      <c r="C270">
        <v>279</v>
      </c>
      <c r="D270">
        <v>454</v>
      </c>
      <c r="E270">
        <v>1</v>
      </c>
      <c r="F270">
        <v>275</v>
      </c>
      <c r="G270">
        <v>99</v>
      </c>
      <c r="H270" t="s">
        <v>405</v>
      </c>
    </row>
    <row r="271" spans="1:8">
      <c r="A271" t="s">
        <v>358</v>
      </c>
      <c r="B271">
        <v>0</v>
      </c>
      <c r="C271">
        <v>279</v>
      </c>
      <c r="D271">
        <v>454</v>
      </c>
      <c r="E271">
        <v>2</v>
      </c>
      <c r="F271">
        <v>184</v>
      </c>
      <c r="G271">
        <v>29</v>
      </c>
      <c r="H271" t="s">
        <v>406</v>
      </c>
    </row>
    <row r="272" spans="1:8">
      <c r="A272" t="s">
        <v>358</v>
      </c>
      <c r="B272">
        <v>0</v>
      </c>
      <c r="C272">
        <v>279</v>
      </c>
      <c r="D272">
        <v>454</v>
      </c>
      <c r="E272">
        <v>3</v>
      </c>
      <c r="F272">
        <v>277</v>
      </c>
      <c r="G272">
        <v>104</v>
      </c>
      <c r="H272" t="s">
        <v>407</v>
      </c>
    </row>
    <row r="273" spans="1:8">
      <c r="A273" t="s">
        <v>358</v>
      </c>
      <c r="B273">
        <v>0</v>
      </c>
      <c r="C273">
        <v>279</v>
      </c>
      <c r="D273">
        <v>454</v>
      </c>
      <c r="E273">
        <v>4</v>
      </c>
      <c r="F273">
        <v>262</v>
      </c>
      <c r="G273">
        <v>89</v>
      </c>
      <c r="H273" t="s">
        <v>408</v>
      </c>
    </row>
    <row r="274" spans="1:8">
      <c r="A274" t="s">
        <v>358</v>
      </c>
      <c r="B274">
        <v>0</v>
      </c>
      <c r="C274">
        <v>19</v>
      </c>
      <c r="D274">
        <v>454</v>
      </c>
      <c r="E274">
        <v>0</v>
      </c>
      <c r="F274">
        <v>224</v>
      </c>
      <c r="G274">
        <v>131</v>
      </c>
      <c r="H274" t="s">
        <v>404</v>
      </c>
    </row>
    <row r="275" spans="1:8">
      <c r="A275" t="s">
        <v>358</v>
      </c>
      <c r="B275">
        <v>0</v>
      </c>
      <c r="C275">
        <v>19</v>
      </c>
      <c r="D275">
        <v>454</v>
      </c>
      <c r="E275">
        <v>1</v>
      </c>
      <c r="F275">
        <v>275</v>
      </c>
      <c r="G275">
        <v>99</v>
      </c>
      <c r="H275" t="s">
        <v>405</v>
      </c>
    </row>
    <row r="276" spans="1:8">
      <c r="A276" t="s">
        <v>358</v>
      </c>
      <c r="B276">
        <v>0</v>
      </c>
      <c r="C276">
        <v>19</v>
      </c>
      <c r="D276">
        <v>454</v>
      </c>
      <c r="E276">
        <v>2</v>
      </c>
      <c r="F276">
        <v>277</v>
      </c>
      <c r="G276">
        <v>104</v>
      </c>
      <c r="H276" t="s">
        <v>407</v>
      </c>
    </row>
    <row r="277" spans="1:8">
      <c r="A277" t="s">
        <v>358</v>
      </c>
      <c r="B277">
        <v>0</v>
      </c>
      <c r="C277">
        <v>19</v>
      </c>
      <c r="D277">
        <v>454</v>
      </c>
      <c r="E277">
        <v>3</v>
      </c>
      <c r="F277">
        <v>184</v>
      </c>
      <c r="G277">
        <v>29</v>
      </c>
      <c r="H277" t="s">
        <v>406</v>
      </c>
    </row>
    <row r="278" spans="1:8">
      <c r="A278" t="s">
        <v>358</v>
      </c>
      <c r="B278">
        <v>0</v>
      </c>
      <c r="C278">
        <v>19</v>
      </c>
      <c r="D278">
        <v>454</v>
      </c>
      <c r="E278">
        <v>4</v>
      </c>
      <c r="F278">
        <v>262</v>
      </c>
      <c r="G278">
        <v>89</v>
      </c>
      <c r="H278" t="s">
        <v>408</v>
      </c>
    </row>
    <row r="279" spans="1:8">
      <c r="A279" t="s">
        <v>358</v>
      </c>
      <c r="B279">
        <v>0</v>
      </c>
      <c r="C279">
        <v>41</v>
      </c>
      <c r="D279">
        <v>454</v>
      </c>
      <c r="E279">
        <v>0</v>
      </c>
      <c r="F279">
        <v>224</v>
      </c>
      <c r="G279">
        <v>131</v>
      </c>
      <c r="H279" t="s">
        <v>404</v>
      </c>
    </row>
    <row r="280" spans="1:8">
      <c r="A280" t="s">
        <v>358</v>
      </c>
      <c r="B280">
        <v>0</v>
      </c>
      <c r="C280">
        <v>41</v>
      </c>
      <c r="D280">
        <v>454</v>
      </c>
      <c r="E280">
        <v>1</v>
      </c>
      <c r="F280">
        <v>275</v>
      </c>
      <c r="G280">
        <v>99</v>
      </c>
      <c r="H280" t="s">
        <v>405</v>
      </c>
    </row>
    <row r="281" spans="1:8">
      <c r="A281" t="s">
        <v>358</v>
      </c>
      <c r="B281">
        <v>0</v>
      </c>
      <c r="C281">
        <v>41</v>
      </c>
      <c r="D281">
        <v>454</v>
      </c>
      <c r="E281">
        <v>2</v>
      </c>
      <c r="F281">
        <v>277</v>
      </c>
      <c r="G281">
        <v>104</v>
      </c>
      <c r="H281" t="s">
        <v>407</v>
      </c>
    </row>
    <row r="282" spans="1:8">
      <c r="A282" t="s">
        <v>358</v>
      </c>
      <c r="B282">
        <v>0</v>
      </c>
      <c r="C282">
        <v>41</v>
      </c>
      <c r="D282">
        <v>454</v>
      </c>
      <c r="E282">
        <v>3</v>
      </c>
      <c r="F282">
        <v>262</v>
      </c>
      <c r="G282">
        <v>89</v>
      </c>
      <c r="H282" t="s">
        <v>408</v>
      </c>
    </row>
    <row r="283" spans="1:8">
      <c r="A283" t="s">
        <v>358</v>
      </c>
      <c r="B283">
        <v>0</v>
      </c>
      <c r="C283">
        <v>41</v>
      </c>
      <c r="D283">
        <v>454</v>
      </c>
      <c r="E283">
        <v>4</v>
      </c>
      <c r="F283">
        <v>184</v>
      </c>
      <c r="G283">
        <v>29</v>
      </c>
      <c r="H283" t="s">
        <v>406</v>
      </c>
    </row>
    <row r="284" spans="1:8">
      <c r="A284" t="s">
        <v>358</v>
      </c>
      <c r="B284">
        <v>0</v>
      </c>
      <c r="C284">
        <v>179</v>
      </c>
      <c r="D284">
        <v>563</v>
      </c>
      <c r="E284">
        <v>0</v>
      </c>
      <c r="F284">
        <v>135</v>
      </c>
      <c r="G284">
        <v>90</v>
      </c>
      <c r="H284" t="s">
        <v>395</v>
      </c>
    </row>
    <row r="285" spans="1:8">
      <c r="A285" t="s">
        <v>358</v>
      </c>
      <c r="B285">
        <v>0</v>
      </c>
      <c r="C285">
        <v>179</v>
      </c>
      <c r="D285">
        <v>563</v>
      </c>
      <c r="E285">
        <v>1</v>
      </c>
      <c r="F285">
        <v>91</v>
      </c>
      <c r="G285">
        <v>138</v>
      </c>
      <c r="H285" t="s">
        <v>396</v>
      </c>
    </row>
    <row r="286" spans="1:8">
      <c r="A286" t="s">
        <v>358</v>
      </c>
      <c r="B286">
        <v>0</v>
      </c>
      <c r="C286">
        <v>179</v>
      </c>
      <c r="D286">
        <v>563</v>
      </c>
      <c r="E286">
        <v>2</v>
      </c>
      <c r="F286">
        <v>109</v>
      </c>
      <c r="G286">
        <v>111</v>
      </c>
      <c r="H286" t="s">
        <v>397</v>
      </c>
    </row>
    <row r="287" spans="1:8">
      <c r="A287" t="s">
        <v>358</v>
      </c>
      <c r="B287">
        <v>0</v>
      </c>
      <c r="C287">
        <v>179</v>
      </c>
      <c r="D287">
        <v>563</v>
      </c>
      <c r="E287">
        <v>3</v>
      </c>
      <c r="F287">
        <v>165</v>
      </c>
      <c r="G287">
        <v>117</v>
      </c>
      <c r="H287" t="s">
        <v>398</v>
      </c>
    </row>
    <row r="288" spans="1:8">
      <c r="A288" t="s">
        <v>358</v>
      </c>
      <c r="B288">
        <v>0</v>
      </c>
      <c r="C288">
        <v>179</v>
      </c>
      <c r="D288">
        <v>563</v>
      </c>
      <c r="E288">
        <v>4</v>
      </c>
      <c r="F288">
        <v>151</v>
      </c>
      <c r="G288">
        <v>105</v>
      </c>
      <c r="H288" t="s">
        <v>399</v>
      </c>
    </row>
    <row r="289" spans="1:8">
      <c r="A289" t="s">
        <v>358</v>
      </c>
      <c r="B289">
        <v>0</v>
      </c>
      <c r="C289">
        <v>259</v>
      </c>
      <c r="D289">
        <v>506</v>
      </c>
      <c r="E289">
        <v>0</v>
      </c>
      <c r="F289">
        <v>137</v>
      </c>
      <c r="G289">
        <v>58</v>
      </c>
      <c r="H289" t="s">
        <v>400</v>
      </c>
    </row>
    <row r="290" spans="1:8">
      <c r="A290" t="s">
        <v>358</v>
      </c>
      <c r="B290">
        <v>0</v>
      </c>
      <c r="C290">
        <v>259</v>
      </c>
      <c r="D290">
        <v>506</v>
      </c>
      <c r="E290">
        <v>1</v>
      </c>
      <c r="F290">
        <v>247</v>
      </c>
      <c r="G290">
        <v>99</v>
      </c>
      <c r="H290" t="s">
        <v>401</v>
      </c>
    </row>
    <row r="291" spans="1:8">
      <c r="A291" t="s">
        <v>358</v>
      </c>
      <c r="B291">
        <v>0</v>
      </c>
      <c r="C291">
        <v>259</v>
      </c>
      <c r="D291">
        <v>506</v>
      </c>
      <c r="E291">
        <v>2</v>
      </c>
      <c r="F291">
        <v>91</v>
      </c>
      <c r="G291">
        <v>138</v>
      </c>
      <c r="H291" t="s">
        <v>396</v>
      </c>
    </row>
    <row r="292" spans="1:8">
      <c r="A292" t="s">
        <v>358</v>
      </c>
      <c r="B292">
        <v>0</v>
      </c>
      <c r="C292">
        <v>259</v>
      </c>
      <c r="D292">
        <v>506</v>
      </c>
      <c r="E292">
        <v>3</v>
      </c>
      <c r="F292">
        <v>205</v>
      </c>
      <c r="G292">
        <v>106</v>
      </c>
      <c r="H292" t="s">
        <v>402</v>
      </c>
    </row>
    <row r="293" spans="1:8">
      <c r="A293" t="s">
        <v>358</v>
      </c>
      <c r="B293">
        <v>0</v>
      </c>
      <c r="C293">
        <v>259</v>
      </c>
      <c r="D293">
        <v>506</v>
      </c>
      <c r="E293">
        <v>4</v>
      </c>
      <c r="F293">
        <v>169</v>
      </c>
      <c r="G293">
        <v>104</v>
      </c>
      <c r="H293" t="s">
        <v>403</v>
      </c>
    </row>
    <row r="294" spans="1:8">
      <c r="A294" t="s">
        <v>358</v>
      </c>
      <c r="B294">
        <v>0</v>
      </c>
      <c r="C294">
        <v>279</v>
      </c>
      <c r="D294">
        <v>454</v>
      </c>
      <c r="E294">
        <v>0</v>
      </c>
      <c r="F294">
        <v>224</v>
      </c>
      <c r="G294">
        <v>131</v>
      </c>
      <c r="H294" t="s">
        <v>404</v>
      </c>
    </row>
    <row r="295" spans="1:8">
      <c r="A295" t="s">
        <v>358</v>
      </c>
      <c r="B295">
        <v>0</v>
      </c>
      <c r="C295">
        <v>279</v>
      </c>
      <c r="D295">
        <v>454</v>
      </c>
      <c r="E295">
        <v>1</v>
      </c>
      <c r="F295">
        <v>275</v>
      </c>
      <c r="G295">
        <v>99</v>
      </c>
      <c r="H295" t="s">
        <v>405</v>
      </c>
    </row>
    <row r="296" spans="1:8">
      <c r="A296" t="s">
        <v>358</v>
      </c>
      <c r="B296">
        <v>0</v>
      </c>
      <c r="C296">
        <v>279</v>
      </c>
      <c r="D296">
        <v>454</v>
      </c>
      <c r="E296">
        <v>2</v>
      </c>
      <c r="F296">
        <v>184</v>
      </c>
      <c r="G296">
        <v>29</v>
      </c>
      <c r="H296" t="s">
        <v>406</v>
      </c>
    </row>
    <row r="297" spans="1:8">
      <c r="A297" t="s">
        <v>358</v>
      </c>
      <c r="B297">
        <v>0</v>
      </c>
      <c r="C297">
        <v>279</v>
      </c>
      <c r="D297">
        <v>454</v>
      </c>
      <c r="E297">
        <v>3</v>
      </c>
      <c r="F297">
        <v>277</v>
      </c>
      <c r="G297">
        <v>104</v>
      </c>
      <c r="H297" t="s">
        <v>407</v>
      </c>
    </row>
    <row r="298" spans="1:8">
      <c r="A298" t="s">
        <v>358</v>
      </c>
      <c r="B298">
        <v>0</v>
      </c>
      <c r="C298">
        <v>279</v>
      </c>
      <c r="D298">
        <v>454</v>
      </c>
      <c r="E298">
        <v>4</v>
      </c>
      <c r="F298">
        <v>262</v>
      </c>
      <c r="G298">
        <v>89</v>
      </c>
      <c r="H298" t="s">
        <v>408</v>
      </c>
    </row>
    <row r="299" spans="1:8">
      <c r="A299" t="s">
        <v>358</v>
      </c>
      <c r="B299">
        <v>0</v>
      </c>
      <c r="C299">
        <v>19</v>
      </c>
      <c r="D299">
        <v>454</v>
      </c>
      <c r="E299">
        <v>0</v>
      </c>
      <c r="F299">
        <v>275</v>
      </c>
      <c r="G299">
        <v>99</v>
      </c>
      <c r="H299" t="s">
        <v>405</v>
      </c>
    </row>
    <row r="300" spans="1:8">
      <c r="A300" t="s">
        <v>358</v>
      </c>
      <c r="B300">
        <v>0</v>
      </c>
      <c r="C300">
        <v>19</v>
      </c>
      <c r="D300">
        <v>454</v>
      </c>
      <c r="E300">
        <v>1</v>
      </c>
      <c r="F300">
        <v>277</v>
      </c>
      <c r="G300">
        <v>104</v>
      </c>
      <c r="H300" t="s">
        <v>407</v>
      </c>
    </row>
    <row r="301" spans="1:8">
      <c r="A301" t="s">
        <v>358</v>
      </c>
      <c r="B301">
        <v>0</v>
      </c>
      <c r="C301">
        <v>19</v>
      </c>
      <c r="D301">
        <v>454</v>
      </c>
      <c r="E301">
        <v>2</v>
      </c>
      <c r="F301">
        <v>262</v>
      </c>
      <c r="G301">
        <v>89</v>
      </c>
      <c r="H301" t="s">
        <v>408</v>
      </c>
    </row>
    <row r="302" spans="1:8">
      <c r="A302" t="s">
        <v>358</v>
      </c>
      <c r="B302">
        <v>0</v>
      </c>
      <c r="C302">
        <v>19</v>
      </c>
      <c r="D302">
        <v>454</v>
      </c>
      <c r="E302">
        <v>3</v>
      </c>
      <c r="F302">
        <v>184</v>
      </c>
      <c r="G302">
        <v>29</v>
      </c>
      <c r="H302" t="s">
        <v>406</v>
      </c>
    </row>
    <row r="303" spans="1:8">
      <c r="A303" t="s">
        <v>358</v>
      </c>
      <c r="B303">
        <v>0</v>
      </c>
      <c r="C303">
        <v>19</v>
      </c>
      <c r="D303">
        <v>454</v>
      </c>
      <c r="E303">
        <v>4</v>
      </c>
      <c r="F303">
        <v>224</v>
      </c>
      <c r="G303">
        <v>131</v>
      </c>
      <c r="H303" t="s">
        <v>404</v>
      </c>
    </row>
    <row r="304" spans="1:8">
      <c r="A304" t="s">
        <v>358</v>
      </c>
      <c r="B304">
        <v>0</v>
      </c>
      <c r="C304">
        <v>41</v>
      </c>
      <c r="D304">
        <v>454</v>
      </c>
      <c r="E304">
        <v>0</v>
      </c>
      <c r="F304">
        <v>224</v>
      </c>
      <c r="G304">
        <v>131</v>
      </c>
      <c r="H304" t="s">
        <v>404</v>
      </c>
    </row>
    <row r="305" spans="1:8">
      <c r="A305" t="s">
        <v>358</v>
      </c>
      <c r="B305">
        <v>0</v>
      </c>
      <c r="C305">
        <v>41</v>
      </c>
      <c r="D305">
        <v>454</v>
      </c>
      <c r="E305">
        <v>1</v>
      </c>
      <c r="F305">
        <v>275</v>
      </c>
      <c r="G305">
        <v>99</v>
      </c>
      <c r="H305" t="s">
        <v>405</v>
      </c>
    </row>
    <row r="306" spans="1:8">
      <c r="A306" t="s">
        <v>358</v>
      </c>
      <c r="B306">
        <v>0</v>
      </c>
      <c r="C306">
        <v>41</v>
      </c>
      <c r="D306">
        <v>454</v>
      </c>
      <c r="E306">
        <v>2</v>
      </c>
      <c r="F306">
        <v>184</v>
      </c>
      <c r="G306">
        <v>29</v>
      </c>
      <c r="H306" t="s">
        <v>406</v>
      </c>
    </row>
    <row r="307" spans="1:8">
      <c r="A307" t="s">
        <v>358</v>
      </c>
      <c r="B307">
        <v>0</v>
      </c>
      <c r="C307">
        <v>41</v>
      </c>
      <c r="D307">
        <v>454</v>
      </c>
      <c r="E307">
        <v>3</v>
      </c>
      <c r="F307">
        <v>277</v>
      </c>
      <c r="G307">
        <v>104</v>
      </c>
      <c r="H307" t="s">
        <v>407</v>
      </c>
    </row>
    <row r="308" spans="1:8">
      <c r="A308" t="s">
        <v>358</v>
      </c>
      <c r="B308">
        <v>0</v>
      </c>
      <c r="C308">
        <v>41</v>
      </c>
      <c r="D308">
        <v>454</v>
      </c>
      <c r="E308">
        <v>4</v>
      </c>
      <c r="F308">
        <v>262</v>
      </c>
      <c r="G308">
        <v>89</v>
      </c>
      <c r="H308" t="s">
        <v>408</v>
      </c>
    </row>
    <row r="309" spans="1:8">
      <c r="A309" t="s">
        <v>358</v>
      </c>
      <c r="B309">
        <v>0</v>
      </c>
      <c r="C309">
        <v>179</v>
      </c>
      <c r="D309">
        <v>563</v>
      </c>
      <c r="E309">
        <v>0</v>
      </c>
      <c r="F309">
        <v>135</v>
      </c>
      <c r="G309">
        <v>90</v>
      </c>
      <c r="H309" t="s">
        <v>395</v>
      </c>
    </row>
    <row r="310" spans="1:8">
      <c r="A310" t="s">
        <v>358</v>
      </c>
      <c r="B310">
        <v>0</v>
      </c>
      <c r="C310">
        <v>179</v>
      </c>
      <c r="D310">
        <v>563</v>
      </c>
      <c r="E310">
        <v>1</v>
      </c>
      <c r="F310">
        <v>91</v>
      </c>
      <c r="G310">
        <v>138</v>
      </c>
      <c r="H310" t="s">
        <v>396</v>
      </c>
    </row>
    <row r="311" spans="1:8">
      <c r="A311" t="s">
        <v>358</v>
      </c>
      <c r="B311">
        <v>0</v>
      </c>
      <c r="C311">
        <v>179</v>
      </c>
      <c r="D311">
        <v>563</v>
      </c>
      <c r="E311">
        <v>2</v>
      </c>
      <c r="F311">
        <v>109</v>
      </c>
      <c r="G311">
        <v>111</v>
      </c>
      <c r="H311" t="s">
        <v>397</v>
      </c>
    </row>
    <row r="312" spans="1:8">
      <c r="A312" t="s">
        <v>358</v>
      </c>
      <c r="B312">
        <v>0</v>
      </c>
      <c r="C312">
        <v>179</v>
      </c>
      <c r="D312">
        <v>563</v>
      </c>
      <c r="E312">
        <v>3</v>
      </c>
      <c r="F312">
        <v>165</v>
      </c>
      <c r="G312">
        <v>117</v>
      </c>
      <c r="H312" t="s">
        <v>398</v>
      </c>
    </row>
    <row r="313" spans="1:8">
      <c r="A313" t="s">
        <v>358</v>
      </c>
      <c r="B313">
        <v>0</v>
      </c>
      <c r="C313">
        <v>179</v>
      </c>
      <c r="D313">
        <v>563</v>
      </c>
      <c r="E313">
        <v>4</v>
      </c>
      <c r="F313">
        <v>151</v>
      </c>
      <c r="G313">
        <v>105</v>
      </c>
      <c r="H313" t="s">
        <v>399</v>
      </c>
    </row>
    <row r="314" spans="1:8">
      <c r="A314" t="s">
        <v>358</v>
      </c>
      <c r="B314">
        <v>0</v>
      </c>
      <c r="C314">
        <v>259</v>
      </c>
      <c r="D314">
        <v>506</v>
      </c>
      <c r="E314">
        <v>0</v>
      </c>
      <c r="F314">
        <v>137</v>
      </c>
      <c r="G314">
        <v>58</v>
      </c>
      <c r="H314" t="s">
        <v>400</v>
      </c>
    </row>
    <row r="315" spans="1:8">
      <c r="A315" t="s">
        <v>358</v>
      </c>
      <c r="B315">
        <v>0</v>
      </c>
      <c r="C315">
        <v>259</v>
      </c>
      <c r="D315">
        <v>506</v>
      </c>
      <c r="E315">
        <v>1</v>
      </c>
      <c r="F315">
        <v>247</v>
      </c>
      <c r="G315">
        <v>99</v>
      </c>
      <c r="H315" t="s">
        <v>401</v>
      </c>
    </row>
    <row r="316" spans="1:8">
      <c r="A316" t="s">
        <v>358</v>
      </c>
      <c r="B316">
        <v>0</v>
      </c>
      <c r="C316">
        <v>259</v>
      </c>
      <c r="D316">
        <v>506</v>
      </c>
      <c r="E316">
        <v>2</v>
      </c>
      <c r="F316">
        <v>91</v>
      </c>
      <c r="G316">
        <v>138</v>
      </c>
      <c r="H316" t="s">
        <v>396</v>
      </c>
    </row>
    <row r="317" spans="1:8">
      <c r="A317" t="s">
        <v>358</v>
      </c>
      <c r="B317">
        <v>0</v>
      </c>
      <c r="C317">
        <v>259</v>
      </c>
      <c r="D317">
        <v>506</v>
      </c>
      <c r="E317">
        <v>3</v>
      </c>
      <c r="F317">
        <v>205</v>
      </c>
      <c r="G317">
        <v>106</v>
      </c>
      <c r="H317" t="s">
        <v>402</v>
      </c>
    </row>
    <row r="318" spans="1:8">
      <c r="A318" t="s">
        <v>358</v>
      </c>
      <c r="B318">
        <v>0</v>
      </c>
      <c r="C318">
        <v>259</v>
      </c>
      <c r="D318">
        <v>506</v>
      </c>
      <c r="E318">
        <v>4</v>
      </c>
      <c r="F318">
        <v>169</v>
      </c>
      <c r="G318">
        <v>104</v>
      </c>
      <c r="H318" t="s">
        <v>403</v>
      </c>
    </row>
    <row r="319" spans="1:8">
      <c r="A319" t="s">
        <v>358</v>
      </c>
      <c r="B319">
        <v>0</v>
      </c>
      <c r="C319">
        <v>279</v>
      </c>
      <c r="D319">
        <v>454</v>
      </c>
      <c r="E319">
        <v>0</v>
      </c>
      <c r="F319">
        <v>224</v>
      </c>
      <c r="G319">
        <v>131</v>
      </c>
      <c r="H319" t="s">
        <v>404</v>
      </c>
    </row>
    <row r="320" spans="1:8">
      <c r="A320" t="s">
        <v>358</v>
      </c>
      <c r="B320">
        <v>0</v>
      </c>
      <c r="C320">
        <v>279</v>
      </c>
      <c r="D320">
        <v>454</v>
      </c>
      <c r="E320">
        <v>1</v>
      </c>
      <c r="F320">
        <v>275</v>
      </c>
      <c r="G320">
        <v>99</v>
      </c>
      <c r="H320" t="s">
        <v>405</v>
      </c>
    </row>
    <row r="321" spans="1:8">
      <c r="A321" t="s">
        <v>358</v>
      </c>
      <c r="B321">
        <v>0</v>
      </c>
      <c r="C321">
        <v>279</v>
      </c>
      <c r="D321">
        <v>454</v>
      </c>
      <c r="E321">
        <v>2</v>
      </c>
      <c r="F321">
        <v>184</v>
      </c>
      <c r="G321">
        <v>29</v>
      </c>
      <c r="H321" t="s">
        <v>406</v>
      </c>
    </row>
    <row r="322" spans="1:8">
      <c r="A322" t="s">
        <v>358</v>
      </c>
      <c r="B322">
        <v>0</v>
      </c>
      <c r="C322">
        <v>279</v>
      </c>
      <c r="D322">
        <v>454</v>
      </c>
      <c r="E322">
        <v>3</v>
      </c>
      <c r="F322">
        <v>277</v>
      </c>
      <c r="G322">
        <v>104</v>
      </c>
      <c r="H322" t="s">
        <v>407</v>
      </c>
    </row>
    <row r="323" spans="1:8">
      <c r="A323" t="s">
        <v>358</v>
      </c>
      <c r="B323">
        <v>0</v>
      </c>
      <c r="C323">
        <v>279</v>
      </c>
      <c r="D323">
        <v>454</v>
      </c>
      <c r="E323">
        <v>4</v>
      </c>
      <c r="F323">
        <v>262</v>
      </c>
      <c r="G323">
        <v>89</v>
      </c>
      <c r="H323" t="s">
        <v>408</v>
      </c>
    </row>
    <row r="324" spans="1:8">
      <c r="A324" t="s">
        <v>358</v>
      </c>
      <c r="B324">
        <v>0</v>
      </c>
      <c r="C324">
        <v>19</v>
      </c>
      <c r="D324">
        <v>454</v>
      </c>
      <c r="E324">
        <v>0</v>
      </c>
      <c r="F324">
        <v>224</v>
      </c>
      <c r="G324">
        <v>131</v>
      </c>
      <c r="H324" t="s">
        <v>404</v>
      </c>
    </row>
    <row r="325" spans="1:8">
      <c r="A325" t="s">
        <v>358</v>
      </c>
      <c r="B325">
        <v>0</v>
      </c>
      <c r="C325">
        <v>19</v>
      </c>
      <c r="D325">
        <v>454</v>
      </c>
      <c r="E325">
        <v>1</v>
      </c>
      <c r="F325">
        <v>275</v>
      </c>
      <c r="G325">
        <v>99</v>
      </c>
      <c r="H325" t="s">
        <v>405</v>
      </c>
    </row>
    <row r="326" spans="1:8">
      <c r="A326" t="s">
        <v>358</v>
      </c>
      <c r="B326">
        <v>0</v>
      </c>
      <c r="C326">
        <v>19</v>
      </c>
      <c r="D326">
        <v>454</v>
      </c>
      <c r="E326">
        <v>2</v>
      </c>
      <c r="F326">
        <v>277</v>
      </c>
      <c r="G326">
        <v>104</v>
      </c>
      <c r="H326" t="s">
        <v>407</v>
      </c>
    </row>
    <row r="327" spans="1:8">
      <c r="A327" t="s">
        <v>358</v>
      </c>
      <c r="B327">
        <v>0</v>
      </c>
      <c r="C327">
        <v>19</v>
      </c>
      <c r="D327">
        <v>454</v>
      </c>
      <c r="E327">
        <v>3</v>
      </c>
      <c r="F327">
        <v>184</v>
      </c>
      <c r="G327">
        <v>29</v>
      </c>
      <c r="H327" t="s">
        <v>406</v>
      </c>
    </row>
    <row r="328" spans="1:8">
      <c r="A328" t="s">
        <v>358</v>
      </c>
      <c r="B328">
        <v>0</v>
      </c>
      <c r="C328">
        <v>19</v>
      </c>
      <c r="D328">
        <v>454</v>
      </c>
      <c r="E328">
        <v>4</v>
      </c>
      <c r="F328">
        <v>262</v>
      </c>
      <c r="G328">
        <v>89</v>
      </c>
      <c r="H328" t="s">
        <v>408</v>
      </c>
    </row>
    <row r="329" spans="1:8">
      <c r="A329" t="s">
        <v>358</v>
      </c>
      <c r="B329">
        <v>0</v>
      </c>
      <c r="C329">
        <v>40</v>
      </c>
      <c r="D329">
        <v>454</v>
      </c>
      <c r="E329">
        <v>0</v>
      </c>
      <c r="F329">
        <v>275</v>
      </c>
      <c r="G329">
        <v>99</v>
      </c>
      <c r="H329" t="s">
        <v>405</v>
      </c>
    </row>
    <row r="330" spans="1:8">
      <c r="A330" t="s">
        <v>358</v>
      </c>
      <c r="B330">
        <v>0</v>
      </c>
      <c r="C330">
        <v>40</v>
      </c>
      <c r="D330">
        <v>454</v>
      </c>
      <c r="E330">
        <v>1</v>
      </c>
      <c r="F330">
        <v>224</v>
      </c>
      <c r="G330">
        <v>131</v>
      </c>
      <c r="H330" t="s">
        <v>404</v>
      </c>
    </row>
    <row r="331" spans="1:8">
      <c r="A331" t="s">
        <v>358</v>
      </c>
      <c r="B331">
        <v>0</v>
      </c>
      <c r="C331">
        <v>40</v>
      </c>
      <c r="D331">
        <v>454</v>
      </c>
      <c r="E331">
        <v>2</v>
      </c>
      <c r="F331">
        <v>277</v>
      </c>
      <c r="G331">
        <v>104</v>
      </c>
      <c r="H331" t="s">
        <v>407</v>
      </c>
    </row>
    <row r="332" spans="1:8">
      <c r="A332" t="s">
        <v>358</v>
      </c>
      <c r="B332">
        <v>0</v>
      </c>
      <c r="C332">
        <v>40</v>
      </c>
      <c r="D332">
        <v>454</v>
      </c>
      <c r="E332">
        <v>3</v>
      </c>
      <c r="F332">
        <v>262</v>
      </c>
      <c r="G332">
        <v>89</v>
      </c>
      <c r="H332" t="s">
        <v>408</v>
      </c>
    </row>
    <row r="333" spans="1:8">
      <c r="A333" t="s">
        <v>358</v>
      </c>
      <c r="B333">
        <v>0</v>
      </c>
      <c r="C333">
        <v>40</v>
      </c>
      <c r="D333">
        <v>454</v>
      </c>
      <c r="E333">
        <v>4</v>
      </c>
      <c r="F333">
        <v>184</v>
      </c>
      <c r="G333">
        <v>29</v>
      </c>
      <c r="H333" t="s">
        <v>406</v>
      </c>
    </row>
    <row r="334" spans="1:8">
      <c r="A334" t="s">
        <v>358</v>
      </c>
      <c r="B334">
        <v>0</v>
      </c>
      <c r="C334">
        <v>259</v>
      </c>
      <c r="D334">
        <v>471</v>
      </c>
      <c r="E334">
        <v>0</v>
      </c>
      <c r="F334">
        <v>178</v>
      </c>
      <c r="G334">
        <v>118</v>
      </c>
      <c r="H334" t="s">
        <v>409</v>
      </c>
    </row>
    <row r="335" spans="1:8">
      <c r="A335" t="s">
        <v>358</v>
      </c>
      <c r="B335">
        <v>0</v>
      </c>
      <c r="C335">
        <v>259</v>
      </c>
      <c r="D335">
        <v>471</v>
      </c>
      <c r="E335">
        <v>1</v>
      </c>
      <c r="F335">
        <v>259</v>
      </c>
      <c r="G335">
        <v>134</v>
      </c>
      <c r="H335" t="s">
        <v>410</v>
      </c>
    </row>
    <row r="336" spans="1:8">
      <c r="A336" t="s">
        <v>358</v>
      </c>
      <c r="B336">
        <v>0</v>
      </c>
      <c r="C336">
        <v>259</v>
      </c>
      <c r="D336">
        <v>471</v>
      </c>
      <c r="E336">
        <v>2</v>
      </c>
      <c r="F336">
        <v>124</v>
      </c>
      <c r="G336">
        <v>97</v>
      </c>
      <c r="H336" t="s">
        <v>411</v>
      </c>
    </row>
    <row r="337" spans="1:8">
      <c r="A337" t="s">
        <v>358</v>
      </c>
      <c r="B337">
        <v>0</v>
      </c>
      <c r="C337">
        <v>259</v>
      </c>
      <c r="D337">
        <v>471</v>
      </c>
      <c r="E337">
        <v>3</v>
      </c>
      <c r="F337">
        <v>225</v>
      </c>
      <c r="G337">
        <v>120</v>
      </c>
      <c r="H337" t="s">
        <v>412</v>
      </c>
    </row>
    <row r="338" spans="1:8">
      <c r="A338" t="s">
        <v>358</v>
      </c>
      <c r="B338">
        <v>0</v>
      </c>
      <c r="C338">
        <v>279</v>
      </c>
      <c r="D338">
        <v>450</v>
      </c>
      <c r="E338">
        <v>0</v>
      </c>
      <c r="F338">
        <v>275</v>
      </c>
      <c r="G338">
        <v>99</v>
      </c>
      <c r="H338" t="s">
        <v>405</v>
      </c>
    </row>
    <row r="339" spans="1:8">
      <c r="A339" t="s">
        <v>358</v>
      </c>
      <c r="B339">
        <v>0</v>
      </c>
      <c r="C339">
        <v>279</v>
      </c>
      <c r="D339">
        <v>450</v>
      </c>
      <c r="E339">
        <v>1</v>
      </c>
      <c r="F339">
        <v>124</v>
      </c>
      <c r="G339">
        <v>97</v>
      </c>
      <c r="H339" t="s">
        <v>411</v>
      </c>
    </row>
    <row r="340" spans="1:8">
      <c r="A340" t="s">
        <v>358</v>
      </c>
      <c r="B340">
        <v>0</v>
      </c>
      <c r="C340">
        <v>279</v>
      </c>
      <c r="D340">
        <v>450</v>
      </c>
      <c r="E340">
        <v>2</v>
      </c>
      <c r="F340">
        <v>178</v>
      </c>
      <c r="G340">
        <v>118</v>
      </c>
      <c r="H340" t="s">
        <v>409</v>
      </c>
    </row>
    <row r="341" spans="1:8">
      <c r="A341" t="s">
        <v>358</v>
      </c>
      <c r="B341">
        <v>0</v>
      </c>
      <c r="C341">
        <v>279</v>
      </c>
      <c r="D341">
        <v>450</v>
      </c>
      <c r="E341">
        <v>3</v>
      </c>
      <c r="F341">
        <v>259</v>
      </c>
      <c r="G341">
        <v>134</v>
      </c>
      <c r="H341" t="s">
        <v>410</v>
      </c>
    </row>
    <row r="342" spans="1:8">
      <c r="A342" t="s">
        <v>358</v>
      </c>
      <c r="B342">
        <v>0</v>
      </c>
      <c r="C342">
        <v>299</v>
      </c>
      <c r="D342">
        <v>450</v>
      </c>
      <c r="E342">
        <v>0</v>
      </c>
      <c r="F342">
        <v>259</v>
      </c>
      <c r="G342">
        <v>134</v>
      </c>
      <c r="H342" t="s">
        <v>410</v>
      </c>
    </row>
    <row r="343" spans="1:8">
      <c r="A343" t="s">
        <v>358</v>
      </c>
      <c r="B343">
        <v>0</v>
      </c>
      <c r="C343">
        <v>299</v>
      </c>
      <c r="D343">
        <v>450</v>
      </c>
      <c r="E343">
        <v>1</v>
      </c>
      <c r="F343">
        <v>275</v>
      </c>
      <c r="G343">
        <v>99</v>
      </c>
      <c r="H343" t="s">
        <v>405</v>
      </c>
    </row>
    <row r="344" spans="1:8">
      <c r="A344" t="s">
        <v>358</v>
      </c>
      <c r="B344">
        <v>0</v>
      </c>
      <c r="C344">
        <v>299</v>
      </c>
      <c r="D344">
        <v>450</v>
      </c>
      <c r="E344">
        <v>2</v>
      </c>
      <c r="F344">
        <v>178</v>
      </c>
      <c r="G344">
        <v>118</v>
      </c>
      <c r="H344" t="s">
        <v>409</v>
      </c>
    </row>
    <row r="345" spans="1:8">
      <c r="A345" t="s">
        <v>358</v>
      </c>
      <c r="B345">
        <v>0</v>
      </c>
      <c r="C345">
        <v>299</v>
      </c>
      <c r="D345">
        <v>450</v>
      </c>
      <c r="E345">
        <v>3</v>
      </c>
      <c r="F345">
        <v>124</v>
      </c>
      <c r="G345">
        <v>97</v>
      </c>
      <c r="H345" t="s">
        <v>411</v>
      </c>
    </row>
    <row r="346" spans="1:8">
      <c r="A346" t="s">
        <v>358</v>
      </c>
      <c r="B346">
        <v>0</v>
      </c>
      <c r="C346">
        <v>319</v>
      </c>
      <c r="D346">
        <v>426</v>
      </c>
      <c r="E346">
        <v>0</v>
      </c>
      <c r="F346">
        <v>304</v>
      </c>
      <c r="G346">
        <v>116</v>
      </c>
      <c r="H346" t="s">
        <v>413</v>
      </c>
    </row>
    <row r="347" spans="1:8">
      <c r="A347" t="s">
        <v>358</v>
      </c>
      <c r="B347">
        <v>0</v>
      </c>
      <c r="C347">
        <v>319</v>
      </c>
      <c r="D347">
        <v>426</v>
      </c>
      <c r="E347">
        <v>1</v>
      </c>
      <c r="F347">
        <v>316</v>
      </c>
      <c r="G347">
        <v>100</v>
      </c>
      <c r="H347" t="s">
        <v>414</v>
      </c>
    </row>
    <row r="348" spans="1:8">
      <c r="A348" t="s">
        <v>358</v>
      </c>
      <c r="B348">
        <v>0</v>
      </c>
      <c r="C348">
        <v>319</v>
      </c>
      <c r="D348">
        <v>426</v>
      </c>
      <c r="E348">
        <v>2</v>
      </c>
      <c r="F348">
        <v>266</v>
      </c>
      <c r="G348">
        <v>126</v>
      </c>
      <c r="H348" t="s">
        <v>415</v>
      </c>
    </row>
    <row r="349" spans="1:8">
      <c r="A349" t="s">
        <v>358</v>
      </c>
      <c r="B349">
        <v>0</v>
      </c>
      <c r="C349">
        <v>319</v>
      </c>
      <c r="D349">
        <v>426</v>
      </c>
      <c r="E349">
        <v>3</v>
      </c>
      <c r="F349">
        <v>300</v>
      </c>
      <c r="G349">
        <v>82</v>
      </c>
      <c r="H349" t="s">
        <v>416</v>
      </c>
    </row>
    <row r="350" spans="1:8">
      <c r="A350" t="s">
        <v>358</v>
      </c>
      <c r="B350">
        <v>0</v>
      </c>
      <c r="C350">
        <v>339</v>
      </c>
      <c r="D350">
        <v>426</v>
      </c>
      <c r="E350">
        <v>0</v>
      </c>
      <c r="F350">
        <v>316</v>
      </c>
      <c r="G350">
        <v>100</v>
      </c>
      <c r="H350" t="s">
        <v>414</v>
      </c>
    </row>
    <row r="351" spans="1:8">
      <c r="A351" t="s">
        <v>358</v>
      </c>
      <c r="B351">
        <v>0</v>
      </c>
      <c r="C351">
        <v>339</v>
      </c>
      <c r="D351">
        <v>426</v>
      </c>
      <c r="E351">
        <v>1</v>
      </c>
      <c r="F351">
        <v>304</v>
      </c>
      <c r="G351">
        <v>116</v>
      </c>
      <c r="H351" t="s">
        <v>413</v>
      </c>
    </row>
    <row r="352" spans="1:8">
      <c r="A352" t="s">
        <v>358</v>
      </c>
      <c r="B352">
        <v>0</v>
      </c>
      <c r="C352">
        <v>339</v>
      </c>
      <c r="D352">
        <v>426</v>
      </c>
      <c r="E352">
        <v>2</v>
      </c>
      <c r="F352">
        <v>266</v>
      </c>
      <c r="G352">
        <v>126</v>
      </c>
      <c r="H352" t="s">
        <v>415</v>
      </c>
    </row>
    <row r="353" spans="1:8">
      <c r="A353" t="s">
        <v>358</v>
      </c>
      <c r="B353">
        <v>0</v>
      </c>
      <c r="C353">
        <v>339</v>
      </c>
      <c r="D353">
        <v>426</v>
      </c>
      <c r="E353">
        <v>3</v>
      </c>
      <c r="F353">
        <v>300</v>
      </c>
      <c r="G353">
        <v>82</v>
      </c>
      <c r="H353" t="s">
        <v>416</v>
      </c>
    </row>
    <row r="354" spans="1:8">
      <c r="A354" t="s">
        <v>358</v>
      </c>
      <c r="B354">
        <v>0</v>
      </c>
      <c r="C354">
        <v>359</v>
      </c>
      <c r="D354">
        <v>419</v>
      </c>
      <c r="E354">
        <v>0</v>
      </c>
      <c r="F354">
        <v>348</v>
      </c>
      <c r="G354">
        <v>103</v>
      </c>
      <c r="H354" t="s">
        <v>417</v>
      </c>
    </row>
    <row r="355" spans="1:8">
      <c r="A355" t="s">
        <v>358</v>
      </c>
      <c r="B355">
        <v>0</v>
      </c>
      <c r="C355">
        <v>359</v>
      </c>
      <c r="D355">
        <v>419</v>
      </c>
      <c r="E355">
        <v>1</v>
      </c>
      <c r="F355">
        <v>275</v>
      </c>
      <c r="G355">
        <v>99</v>
      </c>
      <c r="H355" t="s">
        <v>405</v>
      </c>
    </row>
    <row r="356" spans="1:8">
      <c r="A356" t="s">
        <v>358</v>
      </c>
      <c r="B356">
        <v>0</v>
      </c>
      <c r="C356">
        <v>359</v>
      </c>
      <c r="D356">
        <v>419</v>
      </c>
      <c r="E356">
        <v>2</v>
      </c>
      <c r="F356">
        <v>354</v>
      </c>
      <c r="G356">
        <v>137</v>
      </c>
      <c r="H356" t="s">
        <v>418</v>
      </c>
    </row>
    <row r="357" spans="1:8">
      <c r="A357" t="s">
        <v>358</v>
      </c>
      <c r="B357">
        <v>0</v>
      </c>
      <c r="C357">
        <v>359</v>
      </c>
      <c r="D357">
        <v>419</v>
      </c>
      <c r="E357">
        <v>3</v>
      </c>
      <c r="F357">
        <v>202</v>
      </c>
      <c r="G357">
        <v>79</v>
      </c>
      <c r="H357" t="s">
        <v>419</v>
      </c>
    </row>
    <row r="358" spans="1:8">
      <c r="A358" t="s">
        <v>358</v>
      </c>
      <c r="B358">
        <v>0</v>
      </c>
      <c r="C358">
        <v>259</v>
      </c>
      <c r="D358">
        <v>471</v>
      </c>
      <c r="E358">
        <v>0</v>
      </c>
      <c r="F358">
        <v>178</v>
      </c>
      <c r="G358">
        <v>118</v>
      </c>
      <c r="H358" t="s">
        <v>409</v>
      </c>
    </row>
    <row r="359" spans="1:8">
      <c r="A359" t="s">
        <v>358</v>
      </c>
      <c r="B359">
        <v>0</v>
      </c>
      <c r="C359">
        <v>259</v>
      </c>
      <c r="D359">
        <v>471</v>
      </c>
      <c r="E359">
        <v>1</v>
      </c>
      <c r="F359">
        <v>259</v>
      </c>
      <c r="G359">
        <v>134</v>
      </c>
      <c r="H359" t="s">
        <v>410</v>
      </c>
    </row>
    <row r="360" spans="1:8">
      <c r="A360" t="s">
        <v>358</v>
      </c>
      <c r="B360">
        <v>0</v>
      </c>
      <c r="C360">
        <v>259</v>
      </c>
      <c r="D360">
        <v>471</v>
      </c>
      <c r="E360">
        <v>2</v>
      </c>
      <c r="F360">
        <v>124</v>
      </c>
      <c r="G360">
        <v>97</v>
      </c>
      <c r="H360" t="s">
        <v>411</v>
      </c>
    </row>
    <row r="361" spans="1:8">
      <c r="A361" t="s">
        <v>358</v>
      </c>
      <c r="B361">
        <v>0</v>
      </c>
      <c r="C361">
        <v>259</v>
      </c>
      <c r="D361">
        <v>471</v>
      </c>
      <c r="E361">
        <v>3</v>
      </c>
      <c r="F361">
        <v>225</v>
      </c>
      <c r="G361">
        <v>120</v>
      </c>
      <c r="H361" t="s">
        <v>412</v>
      </c>
    </row>
    <row r="362" spans="1:8">
      <c r="A362" t="s">
        <v>358</v>
      </c>
      <c r="B362">
        <v>0</v>
      </c>
      <c r="C362">
        <v>279</v>
      </c>
      <c r="D362">
        <v>450</v>
      </c>
      <c r="E362">
        <v>0</v>
      </c>
      <c r="F362">
        <v>275</v>
      </c>
      <c r="G362">
        <v>99</v>
      </c>
      <c r="H362" t="s">
        <v>405</v>
      </c>
    </row>
    <row r="363" spans="1:8">
      <c r="A363" t="s">
        <v>358</v>
      </c>
      <c r="B363">
        <v>0</v>
      </c>
      <c r="C363">
        <v>279</v>
      </c>
      <c r="D363">
        <v>450</v>
      </c>
      <c r="E363">
        <v>1</v>
      </c>
      <c r="F363">
        <v>124</v>
      </c>
      <c r="G363">
        <v>97</v>
      </c>
      <c r="H363" t="s">
        <v>411</v>
      </c>
    </row>
    <row r="364" spans="1:8">
      <c r="A364" t="s">
        <v>358</v>
      </c>
      <c r="B364">
        <v>0</v>
      </c>
      <c r="C364">
        <v>279</v>
      </c>
      <c r="D364">
        <v>450</v>
      </c>
      <c r="E364">
        <v>2</v>
      </c>
      <c r="F364">
        <v>178</v>
      </c>
      <c r="G364">
        <v>118</v>
      </c>
      <c r="H364" t="s">
        <v>409</v>
      </c>
    </row>
    <row r="365" spans="1:8">
      <c r="A365" t="s">
        <v>358</v>
      </c>
      <c r="B365">
        <v>0</v>
      </c>
      <c r="C365">
        <v>279</v>
      </c>
      <c r="D365">
        <v>450</v>
      </c>
      <c r="E365">
        <v>3</v>
      </c>
      <c r="F365">
        <v>259</v>
      </c>
      <c r="G365">
        <v>134</v>
      </c>
      <c r="H365" t="s">
        <v>410</v>
      </c>
    </row>
    <row r="366" spans="1:8">
      <c r="A366" t="s">
        <v>358</v>
      </c>
      <c r="B366">
        <v>0</v>
      </c>
      <c r="C366">
        <v>299</v>
      </c>
      <c r="D366">
        <v>450</v>
      </c>
      <c r="E366">
        <v>0</v>
      </c>
      <c r="F366">
        <v>259</v>
      </c>
      <c r="G366">
        <v>134</v>
      </c>
      <c r="H366" t="s">
        <v>410</v>
      </c>
    </row>
    <row r="367" spans="1:8">
      <c r="A367" t="s">
        <v>358</v>
      </c>
      <c r="B367">
        <v>0</v>
      </c>
      <c r="C367">
        <v>299</v>
      </c>
      <c r="D367">
        <v>450</v>
      </c>
      <c r="E367">
        <v>1</v>
      </c>
      <c r="F367">
        <v>275</v>
      </c>
      <c r="G367">
        <v>99</v>
      </c>
      <c r="H367" t="s">
        <v>405</v>
      </c>
    </row>
    <row r="368" spans="1:8">
      <c r="A368" t="s">
        <v>358</v>
      </c>
      <c r="B368">
        <v>0</v>
      </c>
      <c r="C368">
        <v>299</v>
      </c>
      <c r="D368">
        <v>450</v>
      </c>
      <c r="E368">
        <v>2</v>
      </c>
      <c r="F368">
        <v>178</v>
      </c>
      <c r="G368">
        <v>118</v>
      </c>
      <c r="H368" t="s">
        <v>409</v>
      </c>
    </row>
    <row r="369" spans="1:8">
      <c r="A369" t="s">
        <v>358</v>
      </c>
      <c r="B369">
        <v>0</v>
      </c>
      <c r="C369">
        <v>299</v>
      </c>
      <c r="D369">
        <v>450</v>
      </c>
      <c r="E369">
        <v>3</v>
      </c>
      <c r="F369">
        <v>124</v>
      </c>
      <c r="G369">
        <v>97</v>
      </c>
      <c r="H369" t="s">
        <v>411</v>
      </c>
    </row>
    <row r="370" spans="1:8">
      <c r="A370" t="s">
        <v>358</v>
      </c>
      <c r="B370">
        <v>0</v>
      </c>
      <c r="C370">
        <v>319</v>
      </c>
      <c r="D370">
        <v>426</v>
      </c>
      <c r="E370">
        <v>0</v>
      </c>
      <c r="F370">
        <v>304</v>
      </c>
      <c r="G370">
        <v>116</v>
      </c>
      <c r="H370" t="s">
        <v>413</v>
      </c>
    </row>
    <row r="371" spans="1:8">
      <c r="A371" t="s">
        <v>358</v>
      </c>
      <c r="B371">
        <v>0</v>
      </c>
      <c r="C371">
        <v>319</v>
      </c>
      <c r="D371">
        <v>426</v>
      </c>
      <c r="E371">
        <v>1</v>
      </c>
      <c r="F371">
        <v>316</v>
      </c>
      <c r="G371">
        <v>100</v>
      </c>
      <c r="H371" t="s">
        <v>414</v>
      </c>
    </row>
    <row r="372" spans="1:8">
      <c r="A372" t="s">
        <v>358</v>
      </c>
      <c r="B372">
        <v>0</v>
      </c>
      <c r="C372">
        <v>319</v>
      </c>
      <c r="D372">
        <v>426</v>
      </c>
      <c r="E372">
        <v>2</v>
      </c>
      <c r="F372">
        <v>266</v>
      </c>
      <c r="G372">
        <v>126</v>
      </c>
      <c r="H372" t="s">
        <v>415</v>
      </c>
    </row>
    <row r="373" spans="1:8">
      <c r="A373" t="s">
        <v>358</v>
      </c>
      <c r="B373">
        <v>0</v>
      </c>
      <c r="C373">
        <v>319</v>
      </c>
      <c r="D373">
        <v>426</v>
      </c>
      <c r="E373">
        <v>3</v>
      </c>
      <c r="F373">
        <v>300</v>
      </c>
      <c r="G373">
        <v>82</v>
      </c>
      <c r="H373" t="s">
        <v>416</v>
      </c>
    </row>
    <row r="374" spans="1:8">
      <c r="A374" t="s">
        <v>358</v>
      </c>
      <c r="B374">
        <v>0</v>
      </c>
      <c r="C374">
        <v>339</v>
      </c>
      <c r="D374">
        <v>426</v>
      </c>
      <c r="E374">
        <v>0</v>
      </c>
      <c r="F374">
        <v>316</v>
      </c>
      <c r="G374">
        <v>100</v>
      </c>
      <c r="H374" t="s">
        <v>414</v>
      </c>
    </row>
    <row r="375" spans="1:8">
      <c r="A375" t="s">
        <v>358</v>
      </c>
      <c r="B375">
        <v>0</v>
      </c>
      <c r="C375">
        <v>339</v>
      </c>
      <c r="D375">
        <v>426</v>
      </c>
      <c r="E375">
        <v>1</v>
      </c>
      <c r="F375">
        <v>304</v>
      </c>
      <c r="G375">
        <v>116</v>
      </c>
      <c r="H375" t="s">
        <v>413</v>
      </c>
    </row>
    <row r="376" spans="1:8">
      <c r="A376" t="s">
        <v>358</v>
      </c>
      <c r="B376">
        <v>0</v>
      </c>
      <c r="C376">
        <v>339</v>
      </c>
      <c r="D376">
        <v>426</v>
      </c>
      <c r="E376">
        <v>2</v>
      </c>
      <c r="F376">
        <v>266</v>
      </c>
      <c r="G376">
        <v>126</v>
      </c>
      <c r="H376" t="s">
        <v>415</v>
      </c>
    </row>
    <row r="377" spans="1:8">
      <c r="A377" t="s">
        <v>358</v>
      </c>
      <c r="B377">
        <v>0</v>
      </c>
      <c r="C377">
        <v>339</v>
      </c>
      <c r="D377">
        <v>426</v>
      </c>
      <c r="E377">
        <v>3</v>
      </c>
      <c r="F377">
        <v>300</v>
      </c>
      <c r="G377">
        <v>82</v>
      </c>
      <c r="H377" t="s">
        <v>416</v>
      </c>
    </row>
    <row r="378" spans="1:8">
      <c r="A378" t="s">
        <v>358</v>
      </c>
      <c r="B378">
        <v>0</v>
      </c>
      <c r="C378">
        <v>359</v>
      </c>
      <c r="D378">
        <v>419</v>
      </c>
      <c r="E378">
        <v>0</v>
      </c>
      <c r="F378">
        <v>348</v>
      </c>
      <c r="G378">
        <v>103</v>
      </c>
      <c r="H378" t="s">
        <v>417</v>
      </c>
    </row>
    <row r="379" spans="1:8">
      <c r="A379" t="s">
        <v>358</v>
      </c>
      <c r="B379">
        <v>0</v>
      </c>
      <c r="C379">
        <v>359</v>
      </c>
      <c r="D379">
        <v>419</v>
      </c>
      <c r="E379">
        <v>1</v>
      </c>
      <c r="F379">
        <v>275</v>
      </c>
      <c r="G379">
        <v>99</v>
      </c>
      <c r="H379" t="s">
        <v>405</v>
      </c>
    </row>
    <row r="380" spans="1:8">
      <c r="A380" t="s">
        <v>358</v>
      </c>
      <c r="B380">
        <v>0</v>
      </c>
      <c r="C380">
        <v>359</v>
      </c>
      <c r="D380">
        <v>419</v>
      </c>
      <c r="E380">
        <v>2</v>
      </c>
      <c r="F380">
        <v>354</v>
      </c>
      <c r="G380">
        <v>137</v>
      </c>
      <c r="H380" t="s">
        <v>418</v>
      </c>
    </row>
    <row r="381" spans="1:8">
      <c r="A381" t="s">
        <v>358</v>
      </c>
      <c r="B381">
        <v>0</v>
      </c>
      <c r="C381">
        <v>359</v>
      </c>
      <c r="D381">
        <v>419</v>
      </c>
      <c r="E381">
        <v>3</v>
      </c>
      <c r="F381">
        <v>202</v>
      </c>
      <c r="G381">
        <v>79</v>
      </c>
      <c r="H381" t="s">
        <v>419</v>
      </c>
    </row>
    <row r="382" spans="1:8">
      <c r="A382" t="s">
        <v>358</v>
      </c>
      <c r="B382">
        <v>0</v>
      </c>
      <c r="C382">
        <v>259</v>
      </c>
      <c r="D382">
        <v>471</v>
      </c>
      <c r="E382">
        <v>0</v>
      </c>
      <c r="F382">
        <v>178</v>
      </c>
      <c r="G382">
        <v>118</v>
      </c>
      <c r="H382" t="s">
        <v>409</v>
      </c>
    </row>
    <row r="383" spans="1:8">
      <c r="A383" t="s">
        <v>358</v>
      </c>
      <c r="B383">
        <v>0</v>
      </c>
      <c r="C383">
        <v>259</v>
      </c>
      <c r="D383">
        <v>471</v>
      </c>
      <c r="E383">
        <v>1</v>
      </c>
      <c r="F383">
        <v>259</v>
      </c>
      <c r="G383">
        <v>134</v>
      </c>
      <c r="H383" t="s">
        <v>410</v>
      </c>
    </row>
    <row r="384" spans="1:8">
      <c r="A384" t="s">
        <v>358</v>
      </c>
      <c r="B384">
        <v>0</v>
      </c>
      <c r="C384">
        <v>259</v>
      </c>
      <c r="D384">
        <v>471</v>
      </c>
      <c r="E384">
        <v>2</v>
      </c>
      <c r="F384">
        <v>124</v>
      </c>
      <c r="G384">
        <v>97</v>
      </c>
      <c r="H384" t="s">
        <v>411</v>
      </c>
    </row>
    <row r="385" spans="1:8">
      <c r="A385" t="s">
        <v>358</v>
      </c>
      <c r="B385">
        <v>0</v>
      </c>
      <c r="C385">
        <v>259</v>
      </c>
      <c r="D385">
        <v>471</v>
      </c>
      <c r="E385">
        <v>3</v>
      </c>
      <c r="F385">
        <v>225</v>
      </c>
      <c r="G385">
        <v>120</v>
      </c>
      <c r="H385" t="s">
        <v>412</v>
      </c>
    </row>
    <row r="386" spans="1:8">
      <c r="A386" t="s">
        <v>358</v>
      </c>
      <c r="B386">
        <v>0</v>
      </c>
      <c r="C386">
        <v>279</v>
      </c>
      <c r="D386">
        <v>450</v>
      </c>
      <c r="E386">
        <v>0</v>
      </c>
      <c r="F386">
        <v>275</v>
      </c>
      <c r="G386">
        <v>99</v>
      </c>
      <c r="H386" t="s">
        <v>405</v>
      </c>
    </row>
    <row r="387" spans="1:8">
      <c r="A387" t="s">
        <v>358</v>
      </c>
      <c r="B387">
        <v>0</v>
      </c>
      <c r="C387">
        <v>279</v>
      </c>
      <c r="D387">
        <v>450</v>
      </c>
      <c r="E387">
        <v>1</v>
      </c>
      <c r="F387">
        <v>124</v>
      </c>
      <c r="G387">
        <v>97</v>
      </c>
      <c r="H387" t="s">
        <v>411</v>
      </c>
    </row>
    <row r="388" spans="1:8">
      <c r="A388" t="s">
        <v>358</v>
      </c>
      <c r="B388">
        <v>0</v>
      </c>
      <c r="C388">
        <v>279</v>
      </c>
      <c r="D388">
        <v>450</v>
      </c>
      <c r="E388">
        <v>2</v>
      </c>
      <c r="F388">
        <v>178</v>
      </c>
      <c r="G388">
        <v>118</v>
      </c>
      <c r="H388" t="s">
        <v>409</v>
      </c>
    </row>
    <row r="389" spans="1:8">
      <c r="A389" t="s">
        <v>358</v>
      </c>
      <c r="B389">
        <v>0</v>
      </c>
      <c r="C389">
        <v>279</v>
      </c>
      <c r="D389">
        <v>450</v>
      </c>
      <c r="E389">
        <v>3</v>
      </c>
      <c r="F389">
        <v>259</v>
      </c>
      <c r="G389">
        <v>134</v>
      </c>
      <c r="H389" t="s">
        <v>410</v>
      </c>
    </row>
    <row r="390" spans="1:8">
      <c r="A390" t="s">
        <v>358</v>
      </c>
      <c r="B390">
        <v>0</v>
      </c>
      <c r="C390">
        <v>299</v>
      </c>
      <c r="D390">
        <v>450</v>
      </c>
      <c r="E390">
        <v>0</v>
      </c>
      <c r="F390">
        <v>259</v>
      </c>
      <c r="G390">
        <v>134</v>
      </c>
      <c r="H390" t="s">
        <v>410</v>
      </c>
    </row>
    <row r="391" spans="1:8">
      <c r="A391" t="s">
        <v>358</v>
      </c>
      <c r="B391">
        <v>0</v>
      </c>
      <c r="C391">
        <v>299</v>
      </c>
      <c r="D391">
        <v>450</v>
      </c>
      <c r="E391">
        <v>1</v>
      </c>
      <c r="F391">
        <v>275</v>
      </c>
      <c r="G391">
        <v>99</v>
      </c>
      <c r="H391" t="s">
        <v>405</v>
      </c>
    </row>
    <row r="392" spans="1:8">
      <c r="A392" t="s">
        <v>358</v>
      </c>
      <c r="B392">
        <v>0</v>
      </c>
      <c r="C392">
        <v>299</v>
      </c>
      <c r="D392">
        <v>450</v>
      </c>
      <c r="E392">
        <v>2</v>
      </c>
      <c r="F392">
        <v>178</v>
      </c>
      <c r="G392">
        <v>118</v>
      </c>
      <c r="H392" t="s">
        <v>409</v>
      </c>
    </row>
    <row r="393" spans="1:8">
      <c r="A393" t="s">
        <v>358</v>
      </c>
      <c r="B393">
        <v>0</v>
      </c>
      <c r="C393">
        <v>299</v>
      </c>
      <c r="D393">
        <v>450</v>
      </c>
      <c r="E393">
        <v>3</v>
      </c>
      <c r="F393">
        <v>124</v>
      </c>
      <c r="G393">
        <v>97</v>
      </c>
      <c r="H393" t="s">
        <v>411</v>
      </c>
    </row>
    <row r="394" spans="1:8">
      <c r="A394" t="s">
        <v>358</v>
      </c>
      <c r="B394">
        <v>0</v>
      </c>
      <c r="C394">
        <v>319</v>
      </c>
      <c r="D394">
        <v>426</v>
      </c>
      <c r="E394">
        <v>0</v>
      </c>
      <c r="F394">
        <v>304</v>
      </c>
      <c r="G394">
        <v>116</v>
      </c>
      <c r="H394" t="s">
        <v>413</v>
      </c>
    </row>
    <row r="395" spans="1:8">
      <c r="A395" t="s">
        <v>358</v>
      </c>
      <c r="B395">
        <v>0</v>
      </c>
      <c r="C395">
        <v>319</v>
      </c>
      <c r="D395">
        <v>426</v>
      </c>
      <c r="E395">
        <v>1</v>
      </c>
      <c r="F395">
        <v>316</v>
      </c>
      <c r="G395">
        <v>100</v>
      </c>
      <c r="H395" t="s">
        <v>414</v>
      </c>
    </row>
    <row r="396" spans="1:8">
      <c r="A396" t="s">
        <v>358</v>
      </c>
      <c r="B396">
        <v>0</v>
      </c>
      <c r="C396">
        <v>319</v>
      </c>
      <c r="D396">
        <v>426</v>
      </c>
      <c r="E396">
        <v>2</v>
      </c>
      <c r="F396">
        <v>266</v>
      </c>
      <c r="G396">
        <v>126</v>
      </c>
      <c r="H396" t="s">
        <v>415</v>
      </c>
    </row>
    <row r="397" spans="1:8">
      <c r="A397" t="s">
        <v>358</v>
      </c>
      <c r="B397">
        <v>0</v>
      </c>
      <c r="C397">
        <v>319</v>
      </c>
      <c r="D397">
        <v>426</v>
      </c>
      <c r="E397">
        <v>3</v>
      </c>
      <c r="F397">
        <v>300</v>
      </c>
      <c r="G397">
        <v>82</v>
      </c>
      <c r="H397" t="s">
        <v>416</v>
      </c>
    </row>
    <row r="398" spans="1:8">
      <c r="A398" t="s">
        <v>358</v>
      </c>
      <c r="B398">
        <v>0</v>
      </c>
      <c r="C398">
        <v>339</v>
      </c>
      <c r="D398">
        <v>426</v>
      </c>
      <c r="E398">
        <v>0</v>
      </c>
      <c r="F398">
        <v>316</v>
      </c>
      <c r="G398">
        <v>100</v>
      </c>
      <c r="H398" t="s">
        <v>414</v>
      </c>
    </row>
    <row r="399" spans="1:8">
      <c r="A399" t="s">
        <v>358</v>
      </c>
      <c r="B399">
        <v>0</v>
      </c>
      <c r="C399">
        <v>339</v>
      </c>
      <c r="D399">
        <v>426</v>
      </c>
      <c r="E399">
        <v>1</v>
      </c>
      <c r="F399">
        <v>304</v>
      </c>
      <c r="G399">
        <v>116</v>
      </c>
      <c r="H399" t="s">
        <v>413</v>
      </c>
    </row>
    <row r="400" spans="1:8">
      <c r="A400" t="s">
        <v>358</v>
      </c>
      <c r="B400">
        <v>0</v>
      </c>
      <c r="C400">
        <v>339</v>
      </c>
      <c r="D400">
        <v>426</v>
      </c>
      <c r="E400">
        <v>2</v>
      </c>
      <c r="F400">
        <v>266</v>
      </c>
      <c r="G400">
        <v>126</v>
      </c>
      <c r="H400" t="s">
        <v>415</v>
      </c>
    </row>
    <row r="401" spans="1:8">
      <c r="A401" t="s">
        <v>358</v>
      </c>
      <c r="B401">
        <v>0</v>
      </c>
      <c r="C401">
        <v>339</v>
      </c>
      <c r="D401">
        <v>426</v>
      </c>
      <c r="E401">
        <v>3</v>
      </c>
      <c r="F401">
        <v>300</v>
      </c>
      <c r="G401">
        <v>82</v>
      </c>
      <c r="H401" t="s">
        <v>416</v>
      </c>
    </row>
    <row r="402" spans="1:8">
      <c r="A402" t="s">
        <v>358</v>
      </c>
      <c r="B402">
        <v>0</v>
      </c>
      <c r="C402">
        <v>359</v>
      </c>
      <c r="D402">
        <v>419</v>
      </c>
      <c r="E402">
        <v>0</v>
      </c>
      <c r="F402">
        <v>348</v>
      </c>
      <c r="G402">
        <v>103</v>
      </c>
      <c r="H402" t="s">
        <v>417</v>
      </c>
    </row>
    <row r="403" spans="1:8">
      <c r="A403" t="s">
        <v>358</v>
      </c>
      <c r="B403">
        <v>0</v>
      </c>
      <c r="C403">
        <v>359</v>
      </c>
      <c r="D403">
        <v>419</v>
      </c>
      <c r="E403">
        <v>1</v>
      </c>
      <c r="F403">
        <v>275</v>
      </c>
      <c r="G403">
        <v>99</v>
      </c>
      <c r="H403" t="s">
        <v>405</v>
      </c>
    </row>
    <row r="404" spans="1:8">
      <c r="A404" t="s">
        <v>358</v>
      </c>
      <c r="B404">
        <v>0</v>
      </c>
      <c r="C404">
        <v>359</v>
      </c>
      <c r="D404">
        <v>419</v>
      </c>
      <c r="E404">
        <v>2</v>
      </c>
      <c r="F404">
        <v>354</v>
      </c>
      <c r="G404">
        <v>137</v>
      </c>
      <c r="H404" t="s">
        <v>418</v>
      </c>
    </row>
    <row r="405" spans="1:8">
      <c r="A405" t="s">
        <v>358</v>
      </c>
      <c r="B405">
        <v>0</v>
      </c>
      <c r="C405">
        <v>359</v>
      </c>
      <c r="D405">
        <v>419</v>
      </c>
      <c r="E405">
        <v>3</v>
      </c>
      <c r="F405">
        <v>202</v>
      </c>
      <c r="G405">
        <v>79</v>
      </c>
      <c r="H405" t="s">
        <v>419</v>
      </c>
    </row>
    <row r="406" spans="1:8">
      <c r="A406" t="s">
        <v>358</v>
      </c>
      <c r="B406">
        <v>0</v>
      </c>
      <c r="C406">
        <v>259</v>
      </c>
      <c r="D406">
        <v>471</v>
      </c>
      <c r="E406">
        <v>0</v>
      </c>
      <c r="F406">
        <v>178</v>
      </c>
      <c r="G406">
        <v>118</v>
      </c>
      <c r="H406" t="s">
        <v>409</v>
      </c>
    </row>
    <row r="407" spans="1:8">
      <c r="A407" t="s">
        <v>358</v>
      </c>
      <c r="B407">
        <v>0</v>
      </c>
      <c r="C407">
        <v>259</v>
      </c>
      <c r="D407">
        <v>471</v>
      </c>
      <c r="E407">
        <v>1</v>
      </c>
      <c r="F407">
        <v>259</v>
      </c>
      <c r="G407">
        <v>134</v>
      </c>
      <c r="H407" t="s">
        <v>410</v>
      </c>
    </row>
    <row r="408" spans="1:8">
      <c r="A408" t="s">
        <v>358</v>
      </c>
      <c r="B408">
        <v>0</v>
      </c>
      <c r="C408">
        <v>259</v>
      </c>
      <c r="D408">
        <v>471</v>
      </c>
      <c r="E408">
        <v>2</v>
      </c>
      <c r="F408">
        <v>124</v>
      </c>
      <c r="G408">
        <v>97</v>
      </c>
      <c r="H408" t="s">
        <v>411</v>
      </c>
    </row>
    <row r="409" spans="1:8">
      <c r="A409" t="s">
        <v>358</v>
      </c>
      <c r="B409">
        <v>0</v>
      </c>
      <c r="C409">
        <v>259</v>
      </c>
      <c r="D409">
        <v>471</v>
      </c>
      <c r="E409">
        <v>3</v>
      </c>
      <c r="F409">
        <v>225</v>
      </c>
      <c r="G409">
        <v>120</v>
      </c>
      <c r="H409" t="s">
        <v>412</v>
      </c>
    </row>
    <row r="410" spans="1:8">
      <c r="A410" t="s">
        <v>358</v>
      </c>
      <c r="B410">
        <v>0</v>
      </c>
      <c r="C410">
        <v>279</v>
      </c>
      <c r="D410">
        <v>450</v>
      </c>
      <c r="E410">
        <v>0</v>
      </c>
      <c r="F410">
        <v>275</v>
      </c>
      <c r="G410">
        <v>99</v>
      </c>
      <c r="H410" t="s">
        <v>405</v>
      </c>
    </row>
    <row r="411" spans="1:8">
      <c r="A411" t="s">
        <v>358</v>
      </c>
      <c r="B411">
        <v>0</v>
      </c>
      <c r="C411">
        <v>279</v>
      </c>
      <c r="D411">
        <v>450</v>
      </c>
      <c r="E411">
        <v>1</v>
      </c>
      <c r="F411">
        <v>124</v>
      </c>
      <c r="G411">
        <v>97</v>
      </c>
      <c r="H411" t="s">
        <v>411</v>
      </c>
    </row>
    <row r="412" spans="1:8">
      <c r="A412" t="s">
        <v>358</v>
      </c>
      <c r="B412">
        <v>0</v>
      </c>
      <c r="C412">
        <v>279</v>
      </c>
      <c r="D412">
        <v>450</v>
      </c>
      <c r="E412">
        <v>2</v>
      </c>
      <c r="F412">
        <v>178</v>
      </c>
      <c r="G412">
        <v>118</v>
      </c>
      <c r="H412" t="s">
        <v>409</v>
      </c>
    </row>
    <row r="413" spans="1:8">
      <c r="A413" t="s">
        <v>358</v>
      </c>
      <c r="B413">
        <v>0</v>
      </c>
      <c r="C413">
        <v>279</v>
      </c>
      <c r="D413">
        <v>450</v>
      </c>
      <c r="E413">
        <v>3</v>
      </c>
      <c r="F413">
        <v>259</v>
      </c>
      <c r="G413">
        <v>134</v>
      </c>
      <c r="H413" t="s">
        <v>410</v>
      </c>
    </row>
    <row r="414" spans="1:8">
      <c r="A414" t="s">
        <v>358</v>
      </c>
      <c r="B414">
        <v>0</v>
      </c>
      <c r="C414">
        <v>299</v>
      </c>
      <c r="D414">
        <v>450</v>
      </c>
      <c r="E414">
        <v>0</v>
      </c>
      <c r="F414">
        <v>259</v>
      </c>
      <c r="G414">
        <v>134</v>
      </c>
      <c r="H414" t="s">
        <v>410</v>
      </c>
    </row>
    <row r="415" spans="1:8">
      <c r="A415" t="s">
        <v>358</v>
      </c>
      <c r="B415">
        <v>0</v>
      </c>
      <c r="C415">
        <v>299</v>
      </c>
      <c r="D415">
        <v>450</v>
      </c>
      <c r="E415">
        <v>1</v>
      </c>
      <c r="F415">
        <v>275</v>
      </c>
      <c r="G415">
        <v>99</v>
      </c>
      <c r="H415" t="s">
        <v>405</v>
      </c>
    </row>
    <row r="416" spans="1:8">
      <c r="A416" t="s">
        <v>358</v>
      </c>
      <c r="B416">
        <v>0</v>
      </c>
      <c r="C416">
        <v>299</v>
      </c>
      <c r="D416">
        <v>450</v>
      </c>
      <c r="E416">
        <v>2</v>
      </c>
      <c r="F416">
        <v>178</v>
      </c>
      <c r="G416">
        <v>118</v>
      </c>
      <c r="H416" t="s">
        <v>409</v>
      </c>
    </row>
    <row r="417" spans="1:8">
      <c r="A417" t="s">
        <v>358</v>
      </c>
      <c r="B417">
        <v>0</v>
      </c>
      <c r="C417">
        <v>299</v>
      </c>
      <c r="D417">
        <v>450</v>
      </c>
      <c r="E417">
        <v>3</v>
      </c>
      <c r="F417">
        <v>124</v>
      </c>
      <c r="G417">
        <v>97</v>
      </c>
      <c r="H417" t="s">
        <v>411</v>
      </c>
    </row>
    <row r="418" spans="1:8">
      <c r="A418" t="s">
        <v>358</v>
      </c>
      <c r="B418">
        <v>0</v>
      </c>
      <c r="C418">
        <v>319</v>
      </c>
      <c r="D418">
        <v>426</v>
      </c>
      <c r="E418">
        <v>0</v>
      </c>
      <c r="F418">
        <v>304</v>
      </c>
      <c r="G418">
        <v>116</v>
      </c>
      <c r="H418" t="s">
        <v>413</v>
      </c>
    </row>
    <row r="419" spans="1:8">
      <c r="A419" t="s">
        <v>358</v>
      </c>
      <c r="B419">
        <v>0</v>
      </c>
      <c r="C419">
        <v>319</v>
      </c>
      <c r="D419">
        <v>426</v>
      </c>
      <c r="E419">
        <v>1</v>
      </c>
      <c r="F419">
        <v>316</v>
      </c>
      <c r="G419">
        <v>100</v>
      </c>
      <c r="H419" t="s">
        <v>414</v>
      </c>
    </row>
    <row r="420" spans="1:8">
      <c r="A420" t="s">
        <v>358</v>
      </c>
      <c r="B420">
        <v>0</v>
      </c>
      <c r="C420">
        <v>319</v>
      </c>
      <c r="D420">
        <v>426</v>
      </c>
      <c r="E420">
        <v>2</v>
      </c>
      <c r="F420">
        <v>266</v>
      </c>
      <c r="G420">
        <v>126</v>
      </c>
      <c r="H420" t="s">
        <v>415</v>
      </c>
    </row>
    <row r="421" spans="1:8">
      <c r="A421" t="s">
        <v>358</v>
      </c>
      <c r="B421">
        <v>0</v>
      </c>
      <c r="C421">
        <v>319</v>
      </c>
      <c r="D421">
        <v>426</v>
      </c>
      <c r="E421">
        <v>3</v>
      </c>
      <c r="F421">
        <v>300</v>
      </c>
      <c r="G421">
        <v>82</v>
      </c>
      <c r="H421" t="s">
        <v>416</v>
      </c>
    </row>
    <row r="422" spans="1:8">
      <c r="A422" t="s">
        <v>358</v>
      </c>
      <c r="B422">
        <v>0</v>
      </c>
      <c r="C422">
        <v>339</v>
      </c>
      <c r="D422">
        <v>426</v>
      </c>
      <c r="E422">
        <v>0</v>
      </c>
      <c r="F422">
        <v>316</v>
      </c>
      <c r="G422">
        <v>100</v>
      </c>
      <c r="H422" t="s">
        <v>414</v>
      </c>
    </row>
    <row r="423" spans="1:8">
      <c r="A423" t="s">
        <v>358</v>
      </c>
      <c r="B423">
        <v>0</v>
      </c>
      <c r="C423">
        <v>339</v>
      </c>
      <c r="D423">
        <v>426</v>
      </c>
      <c r="E423">
        <v>1</v>
      </c>
      <c r="F423">
        <v>304</v>
      </c>
      <c r="G423">
        <v>116</v>
      </c>
      <c r="H423" t="s">
        <v>413</v>
      </c>
    </row>
    <row r="424" spans="1:8">
      <c r="A424" t="s">
        <v>358</v>
      </c>
      <c r="B424">
        <v>0</v>
      </c>
      <c r="C424">
        <v>339</v>
      </c>
      <c r="D424">
        <v>426</v>
      </c>
      <c r="E424">
        <v>2</v>
      </c>
      <c r="F424">
        <v>266</v>
      </c>
      <c r="G424">
        <v>126</v>
      </c>
      <c r="H424" t="s">
        <v>415</v>
      </c>
    </row>
    <row r="425" spans="1:8">
      <c r="A425" t="s">
        <v>358</v>
      </c>
      <c r="B425">
        <v>0</v>
      </c>
      <c r="C425">
        <v>339</v>
      </c>
      <c r="D425">
        <v>426</v>
      </c>
      <c r="E425">
        <v>3</v>
      </c>
      <c r="F425">
        <v>300</v>
      </c>
      <c r="G425">
        <v>82</v>
      </c>
      <c r="H425" t="s">
        <v>416</v>
      </c>
    </row>
    <row r="426" spans="1:8">
      <c r="A426" t="s">
        <v>358</v>
      </c>
      <c r="B426">
        <v>0</v>
      </c>
      <c r="C426">
        <v>359</v>
      </c>
      <c r="D426">
        <v>419</v>
      </c>
      <c r="E426">
        <v>0</v>
      </c>
      <c r="F426">
        <v>348</v>
      </c>
      <c r="G426">
        <v>103</v>
      </c>
      <c r="H426" t="s">
        <v>417</v>
      </c>
    </row>
    <row r="427" spans="1:8">
      <c r="A427" t="s">
        <v>358</v>
      </c>
      <c r="B427">
        <v>0</v>
      </c>
      <c r="C427">
        <v>359</v>
      </c>
      <c r="D427">
        <v>419</v>
      </c>
      <c r="E427">
        <v>1</v>
      </c>
      <c r="F427">
        <v>275</v>
      </c>
      <c r="G427">
        <v>99</v>
      </c>
      <c r="H427" t="s">
        <v>405</v>
      </c>
    </row>
    <row r="428" spans="1:8">
      <c r="A428" t="s">
        <v>358</v>
      </c>
      <c r="B428">
        <v>0</v>
      </c>
      <c r="C428">
        <v>359</v>
      </c>
      <c r="D428">
        <v>419</v>
      </c>
      <c r="E428">
        <v>2</v>
      </c>
      <c r="F428">
        <v>354</v>
      </c>
      <c r="G428">
        <v>137</v>
      </c>
      <c r="H428" t="s">
        <v>418</v>
      </c>
    </row>
    <row r="429" spans="1:8">
      <c r="A429" t="s">
        <v>358</v>
      </c>
      <c r="B429">
        <v>0</v>
      </c>
      <c r="C429">
        <v>359</v>
      </c>
      <c r="D429">
        <v>419</v>
      </c>
      <c r="E429">
        <v>3</v>
      </c>
      <c r="F429">
        <v>202</v>
      </c>
      <c r="G429">
        <v>79</v>
      </c>
      <c r="H429" t="s">
        <v>419</v>
      </c>
    </row>
    <row r="430" spans="1:8">
      <c r="A430" t="s">
        <v>358</v>
      </c>
      <c r="B430">
        <v>0</v>
      </c>
      <c r="C430">
        <v>119</v>
      </c>
      <c r="D430">
        <v>561</v>
      </c>
      <c r="E430">
        <v>0</v>
      </c>
      <c r="F430">
        <v>99</v>
      </c>
      <c r="G430">
        <v>104</v>
      </c>
      <c r="H430" t="s">
        <v>420</v>
      </c>
    </row>
    <row r="431" spans="1:8">
      <c r="A431" t="s">
        <v>358</v>
      </c>
      <c r="B431">
        <v>0</v>
      </c>
      <c r="C431">
        <v>119</v>
      </c>
      <c r="D431">
        <v>561</v>
      </c>
      <c r="E431">
        <v>1</v>
      </c>
      <c r="F431">
        <v>105</v>
      </c>
      <c r="G431">
        <v>93</v>
      </c>
      <c r="H431" t="s">
        <v>421</v>
      </c>
    </row>
    <row r="432" spans="1:8">
      <c r="A432" t="s">
        <v>358</v>
      </c>
      <c r="B432">
        <v>0</v>
      </c>
      <c r="C432">
        <v>119</v>
      </c>
      <c r="D432">
        <v>561</v>
      </c>
      <c r="E432">
        <v>2</v>
      </c>
      <c r="F432">
        <v>96</v>
      </c>
      <c r="G432">
        <v>99</v>
      </c>
      <c r="H432" t="s">
        <v>422</v>
      </c>
    </row>
    <row r="433" spans="1:8">
      <c r="A433" t="s">
        <v>358</v>
      </c>
      <c r="B433">
        <v>0</v>
      </c>
      <c r="C433">
        <v>119</v>
      </c>
      <c r="D433">
        <v>561</v>
      </c>
      <c r="E433">
        <v>3</v>
      </c>
      <c r="F433">
        <v>121</v>
      </c>
      <c r="G433">
        <v>79</v>
      </c>
      <c r="H433" t="s">
        <v>423</v>
      </c>
    </row>
    <row r="434" spans="1:8">
      <c r="A434" t="s">
        <v>358</v>
      </c>
      <c r="B434">
        <v>0</v>
      </c>
      <c r="C434">
        <v>119</v>
      </c>
      <c r="D434">
        <v>561</v>
      </c>
      <c r="E434">
        <v>4</v>
      </c>
      <c r="F434">
        <v>12</v>
      </c>
      <c r="G434">
        <v>72</v>
      </c>
      <c r="H434" t="s">
        <v>424</v>
      </c>
    </row>
    <row r="435" spans="1:8">
      <c r="A435" t="s">
        <v>358</v>
      </c>
      <c r="B435">
        <v>0</v>
      </c>
      <c r="C435">
        <v>119</v>
      </c>
      <c r="D435">
        <v>561</v>
      </c>
      <c r="E435">
        <v>5</v>
      </c>
      <c r="F435">
        <v>97</v>
      </c>
      <c r="G435">
        <v>113</v>
      </c>
      <c r="H435" t="s">
        <v>425</v>
      </c>
    </row>
    <row r="436" spans="1:8">
      <c r="A436" t="s">
        <v>358</v>
      </c>
      <c r="B436">
        <v>0</v>
      </c>
      <c r="C436">
        <v>139</v>
      </c>
      <c r="D436">
        <v>561</v>
      </c>
      <c r="E436">
        <v>0</v>
      </c>
      <c r="F436">
        <v>96</v>
      </c>
      <c r="G436">
        <v>99</v>
      </c>
      <c r="H436" t="s">
        <v>422</v>
      </c>
    </row>
    <row r="437" spans="1:8">
      <c r="A437" t="s">
        <v>358</v>
      </c>
      <c r="B437">
        <v>0</v>
      </c>
      <c r="C437">
        <v>139</v>
      </c>
      <c r="D437">
        <v>561</v>
      </c>
      <c r="E437">
        <v>1</v>
      </c>
      <c r="F437">
        <v>12</v>
      </c>
      <c r="G437">
        <v>72</v>
      </c>
      <c r="H437" t="s">
        <v>424</v>
      </c>
    </row>
    <row r="438" spans="1:8">
      <c r="A438" t="s">
        <v>358</v>
      </c>
      <c r="B438">
        <v>0</v>
      </c>
      <c r="C438">
        <v>139</v>
      </c>
      <c r="D438">
        <v>561</v>
      </c>
      <c r="E438">
        <v>2</v>
      </c>
      <c r="F438">
        <v>99</v>
      </c>
      <c r="G438">
        <v>104</v>
      </c>
      <c r="H438" t="s">
        <v>420</v>
      </c>
    </row>
    <row r="439" spans="1:8">
      <c r="A439" t="s">
        <v>358</v>
      </c>
      <c r="B439">
        <v>0</v>
      </c>
      <c r="C439">
        <v>139</v>
      </c>
      <c r="D439">
        <v>561</v>
      </c>
      <c r="E439">
        <v>3</v>
      </c>
      <c r="F439">
        <v>97</v>
      </c>
      <c r="G439">
        <v>113</v>
      </c>
      <c r="H439" t="s">
        <v>425</v>
      </c>
    </row>
    <row r="440" spans="1:8">
      <c r="A440" t="s">
        <v>358</v>
      </c>
      <c r="B440">
        <v>0</v>
      </c>
      <c r="C440">
        <v>139</v>
      </c>
      <c r="D440">
        <v>561</v>
      </c>
      <c r="E440">
        <v>4</v>
      </c>
      <c r="F440">
        <v>121</v>
      </c>
      <c r="G440">
        <v>79</v>
      </c>
      <c r="H440" t="s">
        <v>423</v>
      </c>
    </row>
    <row r="441" spans="1:8">
      <c r="A441" t="s">
        <v>358</v>
      </c>
      <c r="B441">
        <v>0</v>
      </c>
      <c r="C441">
        <v>139</v>
      </c>
      <c r="D441">
        <v>561</v>
      </c>
      <c r="E441">
        <v>5</v>
      </c>
      <c r="F441">
        <v>105</v>
      </c>
      <c r="G441">
        <v>93</v>
      </c>
      <c r="H441" t="s">
        <v>421</v>
      </c>
    </row>
    <row r="442" spans="1:8">
      <c r="A442" t="s">
        <v>358</v>
      </c>
      <c r="B442">
        <v>0</v>
      </c>
      <c r="C442">
        <v>159</v>
      </c>
      <c r="D442">
        <v>561</v>
      </c>
      <c r="E442">
        <v>0</v>
      </c>
      <c r="F442">
        <v>99</v>
      </c>
      <c r="G442">
        <v>104</v>
      </c>
      <c r="H442" t="s">
        <v>420</v>
      </c>
    </row>
    <row r="443" spans="1:8">
      <c r="A443" t="s">
        <v>358</v>
      </c>
      <c r="B443">
        <v>0</v>
      </c>
      <c r="C443">
        <v>159</v>
      </c>
      <c r="D443">
        <v>561</v>
      </c>
      <c r="E443">
        <v>1</v>
      </c>
      <c r="F443">
        <v>12</v>
      </c>
      <c r="G443">
        <v>72</v>
      </c>
      <c r="H443" t="s">
        <v>424</v>
      </c>
    </row>
    <row r="444" spans="1:8">
      <c r="A444" t="s">
        <v>358</v>
      </c>
      <c r="B444">
        <v>0</v>
      </c>
      <c r="C444">
        <v>159</v>
      </c>
      <c r="D444">
        <v>561</v>
      </c>
      <c r="E444">
        <v>2</v>
      </c>
      <c r="F444">
        <v>96</v>
      </c>
      <c r="G444">
        <v>99</v>
      </c>
      <c r="H444" t="s">
        <v>422</v>
      </c>
    </row>
    <row r="445" spans="1:8">
      <c r="A445" t="s">
        <v>358</v>
      </c>
      <c r="B445">
        <v>0</v>
      </c>
      <c r="C445">
        <v>159</v>
      </c>
      <c r="D445">
        <v>561</v>
      </c>
      <c r="E445">
        <v>3</v>
      </c>
      <c r="F445">
        <v>121</v>
      </c>
      <c r="G445">
        <v>79</v>
      </c>
      <c r="H445" t="s">
        <v>423</v>
      </c>
    </row>
    <row r="446" spans="1:8">
      <c r="A446" t="s">
        <v>358</v>
      </c>
      <c r="B446">
        <v>0</v>
      </c>
      <c r="C446">
        <v>159</v>
      </c>
      <c r="D446">
        <v>561</v>
      </c>
      <c r="E446">
        <v>4</v>
      </c>
      <c r="F446">
        <v>105</v>
      </c>
      <c r="G446">
        <v>93</v>
      </c>
      <c r="H446" t="s">
        <v>421</v>
      </c>
    </row>
    <row r="447" spans="1:8">
      <c r="A447" t="s">
        <v>358</v>
      </c>
      <c r="B447">
        <v>0</v>
      </c>
      <c r="C447">
        <v>159</v>
      </c>
      <c r="D447">
        <v>561</v>
      </c>
      <c r="E447">
        <v>5</v>
      </c>
      <c r="F447">
        <v>97</v>
      </c>
      <c r="G447">
        <v>113</v>
      </c>
      <c r="H447" t="s">
        <v>425</v>
      </c>
    </row>
    <row r="448" spans="1:8">
      <c r="A448" t="s">
        <v>358</v>
      </c>
      <c r="B448">
        <v>0</v>
      </c>
      <c r="C448">
        <v>179</v>
      </c>
      <c r="D448">
        <v>544</v>
      </c>
      <c r="E448">
        <v>0</v>
      </c>
      <c r="F448">
        <v>97</v>
      </c>
      <c r="G448">
        <v>113</v>
      </c>
      <c r="H448" t="s">
        <v>425</v>
      </c>
    </row>
    <row r="449" spans="1:8">
      <c r="A449" t="s">
        <v>358</v>
      </c>
      <c r="B449">
        <v>0</v>
      </c>
      <c r="C449">
        <v>179</v>
      </c>
      <c r="D449">
        <v>544</v>
      </c>
      <c r="E449">
        <v>1</v>
      </c>
      <c r="F449">
        <v>121</v>
      </c>
      <c r="G449">
        <v>79</v>
      </c>
      <c r="H449" t="s">
        <v>423</v>
      </c>
    </row>
    <row r="450" spans="1:8">
      <c r="A450" t="s">
        <v>358</v>
      </c>
      <c r="B450">
        <v>0</v>
      </c>
      <c r="C450">
        <v>179</v>
      </c>
      <c r="D450">
        <v>544</v>
      </c>
      <c r="E450">
        <v>2</v>
      </c>
      <c r="F450">
        <v>157</v>
      </c>
      <c r="G450">
        <v>61</v>
      </c>
      <c r="H450" t="s">
        <v>426</v>
      </c>
    </row>
    <row r="451" spans="1:8">
      <c r="A451" t="s">
        <v>358</v>
      </c>
      <c r="B451">
        <v>0</v>
      </c>
      <c r="C451">
        <v>179</v>
      </c>
      <c r="D451">
        <v>544</v>
      </c>
      <c r="E451">
        <v>3</v>
      </c>
      <c r="F451">
        <v>96</v>
      </c>
      <c r="G451">
        <v>99</v>
      </c>
      <c r="H451" t="s">
        <v>422</v>
      </c>
    </row>
    <row r="452" spans="1:8">
      <c r="A452" t="s">
        <v>358</v>
      </c>
      <c r="B452">
        <v>0</v>
      </c>
      <c r="C452">
        <v>179</v>
      </c>
      <c r="D452">
        <v>544</v>
      </c>
      <c r="E452">
        <v>4</v>
      </c>
      <c r="F452">
        <v>178</v>
      </c>
      <c r="G452">
        <v>86</v>
      </c>
      <c r="H452" t="s">
        <v>427</v>
      </c>
    </row>
    <row r="453" spans="1:8">
      <c r="A453" t="s">
        <v>358</v>
      </c>
      <c r="B453">
        <v>0</v>
      </c>
      <c r="C453">
        <v>179</v>
      </c>
      <c r="D453">
        <v>544</v>
      </c>
      <c r="E453">
        <v>5</v>
      </c>
      <c r="F453">
        <v>163</v>
      </c>
      <c r="G453">
        <v>104</v>
      </c>
      <c r="H453" t="s">
        <v>407</v>
      </c>
    </row>
    <row r="454" spans="1:8">
      <c r="A454" t="s">
        <v>358</v>
      </c>
      <c r="B454">
        <v>0</v>
      </c>
      <c r="C454">
        <v>199</v>
      </c>
      <c r="D454">
        <v>544</v>
      </c>
      <c r="E454">
        <v>0</v>
      </c>
      <c r="F454">
        <v>121</v>
      </c>
      <c r="G454">
        <v>79</v>
      </c>
      <c r="H454" t="s">
        <v>423</v>
      </c>
    </row>
    <row r="455" spans="1:8">
      <c r="A455" t="s">
        <v>358</v>
      </c>
      <c r="B455">
        <v>0</v>
      </c>
      <c r="C455">
        <v>199</v>
      </c>
      <c r="D455">
        <v>544</v>
      </c>
      <c r="E455">
        <v>1</v>
      </c>
      <c r="F455">
        <v>97</v>
      </c>
      <c r="G455">
        <v>113</v>
      </c>
      <c r="H455" t="s">
        <v>425</v>
      </c>
    </row>
    <row r="456" spans="1:8">
      <c r="A456" t="s">
        <v>358</v>
      </c>
      <c r="B456">
        <v>0</v>
      </c>
      <c r="C456">
        <v>199</v>
      </c>
      <c r="D456">
        <v>544</v>
      </c>
      <c r="E456">
        <v>2</v>
      </c>
      <c r="F456">
        <v>157</v>
      </c>
      <c r="G456">
        <v>61</v>
      </c>
      <c r="H456" t="s">
        <v>426</v>
      </c>
    </row>
    <row r="457" spans="1:8">
      <c r="A457" t="s">
        <v>358</v>
      </c>
      <c r="B457">
        <v>0</v>
      </c>
      <c r="C457">
        <v>199</v>
      </c>
      <c r="D457">
        <v>544</v>
      </c>
      <c r="E457">
        <v>3</v>
      </c>
      <c r="F457">
        <v>96</v>
      </c>
      <c r="G457">
        <v>99</v>
      </c>
      <c r="H457" t="s">
        <v>422</v>
      </c>
    </row>
    <row r="458" spans="1:8">
      <c r="A458" t="s">
        <v>358</v>
      </c>
      <c r="B458">
        <v>0</v>
      </c>
      <c r="C458">
        <v>199</v>
      </c>
      <c r="D458">
        <v>544</v>
      </c>
      <c r="E458">
        <v>4</v>
      </c>
      <c r="F458">
        <v>163</v>
      </c>
      <c r="G458">
        <v>104</v>
      </c>
      <c r="H458" t="s">
        <v>407</v>
      </c>
    </row>
    <row r="459" spans="1:8">
      <c r="A459" t="s">
        <v>358</v>
      </c>
      <c r="B459">
        <v>0</v>
      </c>
      <c r="C459">
        <v>199</v>
      </c>
      <c r="D459">
        <v>544</v>
      </c>
      <c r="E459">
        <v>5</v>
      </c>
      <c r="F459">
        <v>178</v>
      </c>
      <c r="G459">
        <v>86</v>
      </c>
      <c r="H459" t="s">
        <v>427</v>
      </c>
    </row>
    <row r="460" spans="1:8">
      <c r="A460" t="s">
        <v>358</v>
      </c>
      <c r="B460">
        <v>0</v>
      </c>
      <c r="C460">
        <v>219</v>
      </c>
      <c r="D460">
        <v>537</v>
      </c>
      <c r="E460">
        <v>0</v>
      </c>
      <c r="F460">
        <v>157</v>
      </c>
      <c r="G460">
        <v>61</v>
      </c>
      <c r="H460" t="s">
        <v>426</v>
      </c>
    </row>
    <row r="461" spans="1:8">
      <c r="A461" t="s">
        <v>358</v>
      </c>
      <c r="B461">
        <v>0</v>
      </c>
      <c r="C461">
        <v>219</v>
      </c>
      <c r="D461">
        <v>537</v>
      </c>
      <c r="E461">
        <v>1</v>
      </c>
      <c r="F461">
        <v>163</v>
      </c>
      <c r="G461">
        <v>104</v>
      </c>
      <c r="H461" t="s">
        <v>407</v>
      </c>
    </row>
    <row r="462" spans="1:8">
      <c r="A462" t="s">
        <v>358</v>
      </c>
      <c r="B462">
        <v>0</v>
      </c>
      <c r="C462">
        <v>219</v>
      </c>
      <c r="D462">
        <v>537</v>
      </c>
      <c r="E462">
        <v>2</v>
      </c>
      <c r="F462">
        <v>137</v>
      </c>
      <c r="G462">
        <v>70</v>
      </c>
      <c r="H462" t="s">
        <v>428</v>
      </c>
    </row>
    <row r="463" spans="1:8">
      <c r="A463" t="s">
        <v>358</v>
      </c>
      <c r="B463">
        <v>0</v>
      </c>
      <c r="C463">
        <v>219</v>
      </c>
      <c r="D463">
        <v>537</v>
      </c>
      <c r="E463">
        <v>3</v>
      </c>
      <c r="F463">
        <v>209</v>
      </c>
      <c r="G463">
        <v>87</v>
      </c>
      <c r="H463" t="s">
        <v>429</v>
      </c>
    </row>
    <row r="464" spans="1:8">
      <c r="A464" t="s">
        <v>358</v>
      </c>
      <c r="B464">
        <v>0</v>
      </c>
      <c r="C464">
        <v>219</v>
      </c>
      <c r="D464">
        <v>537</v>
      </c>
      <c r="E464">
        <v>4</v>
      </c>
      <c r="F464">
        <v>97</v>
      </c>
      <c r="G464">
        <v>113</v>
      </c>
      <c r="H464" t="s">
        <v>425</v>
      </c>
    </row>
    <row r="465" spans="1:8">
      <c r="A465" t="s">
        <v>358</v>
      </c>
      <c r="B465">
        <v>0</v>
      </c>
      <c r="C465">
        <v>219</v>
      </c>
      <c r="D465">
        <v>537</v>
      </c>
      <c r="E465">
        <v>5</v>
      </c>
      <c r="F465">
        <v>96</v>
      </c>
      <c r="G465">
        <v>99</v>
      </c>
      <c r="H465" t="s">
        <v>422</v>
      </c>
    </row>
    <row r="466" spans="1:8">
      <c r="A466" t="s">
        <v>358</v>
      </c>
      <c r="B466">
        <v>0</v>
      </c>
      <c r="C466">
        <v>119</v>
      </c>
      <c r="D466">
        <v>561</v>
      </c>
      <c r="E466">
        <v>0</v>
      </c>
      <c r="F466">
        <v>99</v>
      </c>
      <c r="G466">
        <v>104</v>
      </c>
      <c r="H466" t="s">
        <v>420</v>
      </c>
    </row>
    <row r="467" spans="1:8">
      <c r="A467" t="s">
        <v>358</v>
      </c>
      <c r="B467">
        <v>0</v>
      </c>
      <c r="C467">
        <v>119</v>
      </c>
      <c r="D467">
        <v>561</v>
      </c>
      <c r="E467">
        <v>1</v>
      </c>
      <c r="F467">
        <v>105</v>
      </c>
      <c r="G467">
        <v>93</v>
      </c>
      <c r="H467" t="s">
        <v>421</v>
      </c>
    </row>
    <row r="468" spans="1:8">
      <c r="A468" t="s">
        <v>358</v>
      </c>
      <c r="B468">
        <v>0</v>
      </c>
      <c r="C468">
        <v>119</v>
      </c>
      <c r="D468">
        <v>561</v>
      </c>
      <c r="E468">
        <v>2</v>
      </c>
      <c r="F468">
        <v>96</v>
      </c>
      <c r="G468">
        <v>99</v>
      </c>
      <c r="H468" t="s">
        <v>422</v>
      </c>
    </row>
    <row r="469" spans="1:8">
      <c r="A469" t="s">
        <v>358</v>
      </c>
      <c r="B469">
        <v>0</v>
      </c>
      <c r="C469">
        <v>119</v>
      </c>
      <c r="D469">
        <v>561</v>
      </c>
      <c r="E469">
        <v>3</v>
      </c>
      <c r="F469">
        <v>121</v>
      </c>
      <c r="G469">
        <v>79</v>
      </c>
      <c r="H469" t="s">
        <v>423</v>
      </c>
    </row>
    <row r="470" spans="1:8">
      <c r="A470" t="s">
        <v>358</v>
      </c>
      <c r="B470">
        <v>0</v>
      </c>
      <c r="C470">
        <v>119</v>
      </c>
      <c r="D470">
        <v>561</v>
      </c>
      <c r="E470">
        <v>4</v>
      </c>
      <c r="F470">
        <v>12</v>
      </c>
      <c r="G470">
        <v>72</v>
      </c>
      <c r="H470" t="s">
        <v>424</v>
      </c>
    </row>
    <row r="471" spans="1:8">
      <c r="A471" t="s">
        <v>358</v>
      </c>
      <c r="B471">
        <v>0</v>
      </c>
      <c r="C471">
        <v>119</v>
      </c>
      <c r="D471">
        <v>561</v>
      </c>
      <c r="E471">
        <v>5</v>
      </c>
      <c r="F471">
        <v>97</v>
      </c>
      <c r="G471">
        <v>113</v>
      </c>
      <c r="H471" t="s">
        <v>425</v>
      </c>
    </row>
    <row r="472" spans="1:8">
      <c r="A472" t="s">
        <v>358</v>
      </c>
      <c r="B472">
        <v>0</v>
      </c>
      <c r="C472">
        <v>139</v>
      </c>
      <c r="D472">
        <v>561</v>
      </c>
      <c r="E472">
        <v>0</v>
      </c>
      <c r="F472">
        <v>96</v>
      </c>
      <c r="G472">
        <v>99</v>
      </c>
      <c r="H472" t="s">
        <v>422</v>
      </c>
    </row>
    <row r="473" spans="1:8">
      <c r="A473" t="s">
        <v>358</v>
      </c>
      <c r="B473">
        <v>0</v>
      </c>
      <c r="C473">
        <v>139</v>
      </c>
      <c r="D473">
        <v>561</v>
      </c>
      <c r="E473">
        <v>1</v>
      </c>
      <c r="F473">
        <v>12</v>
      </c>
      <c r="G473">
        <v>72</v>
      </c>
      <c r="H473" t="s">
        <v>424</v>
      </c>
    </row>
    <row r="474" spans="1:8">
      <c r="A474" t="s">
        <v>358</v>
      </c>
      <c r="B474">
        <v>0</v>
      </c>
      <c r="C474">
        <v>139</v>
      </c>
      <c r="D474">
        <v>561</v>
      </c>
      <c r="E474">
        <v>2</v>
      </c>
      <c r="F474">
        <v>99</v>
      </c>
      <c r="G474">
        <v>104</v>
      </c>
      <c r="H474" t="s">
        <v>420</v>
      </c>
    </row>
    <row r="475" spans="1:8">
      <c r="A475" t="s">
        <v>358</v>
      </c>
      <c r="B475">
        <v>0</v>
      </c>
      <c r="C475">
        <v>139</v>
      </c>
      <c r="D475">
        <v>561</v>
      </c>
      <c r="E475">
        <v>3</v>
      </c>
      <c r="F475">
        <v>97</v>
      </c>
      <c r="G475">
        <v>113</v>
      </c>
      <c r="H475" t="s">
        <v>425</v>
      </c>
    </row>
    <row r="476" spans="1:8">
      <c r="A476" t="s">
        <v>358</v>
      </c>
      <c r="B476">
        <v>0</v>
      </c>
      <c r="C476">
        <v>139</v>
      </c>
      <c r="D476">
        <v>561</v>
      </c>
      <c r="E476">
        <v>4</v>
      </c>
      <c r="F476">
        <v>121</v>
      </c>
      <c r="G476">
        <v>79</v>
      </c>
      <c r="H476" t="s">
        <v>423</v>
      </c>
    </row>
    <row r="477" spans="1:8">
      <c r="A477" t="s">
        <v>358</v>
      </c>
      <c r="B477">
        <v>0</v>
      </c>
      <c r="C477">
        <v>139</v>
      </c>
      <c r="D477">
        <v>561</v>
      </c>
      <c r="E477">
        <v>5</v>
      </c>
      <c r="F477">
        <v>105</v>
      </c>
      <c r="G477">
        <v>93</v>
      </c>
      <c r="H477" t="s">
        <v>421</v>
      </c>
    </row>
    <row r="478" spans="1:8">
      <c r="A478" t="s">
        <v>358</v>
      </c>
      <c r="B478">
        <v>0</v>
      </c>
      <c r="C478">
        <v>159</v>
      </c>
      <c r="D478">
        <v>561</v>
      </c>
      <c r="E478">
        <v>0</v>
      </c>
      <c r="F478">
        <v>99</v>
      </c>
      <c r="G478">
        <v>104</v>
      </c>
      <c r="H478" t="s">
        <v>420</v>
      </c>
    </row>
    <row r="479" spans="1:8">
      <c r="A479" t="s">
        <v>358</v>
      </c>
      <c r="B479">
        <v>0</v>
      </c>
      <c r="C479">
        <v>159</v>
      </c>
      <c r="D479">
        <v>561</v>
      </c>
      <c r="E479">
        <v>1</v>
      </c>
      <c r="F479">
        <v>12</v>
      </c>
      <c r="G479">
        <v>72</v>
      </c>
      <c r="H479" t="s">
        <v>424</v>
      </c>
    </row>
    <row r="480" spans="1:8">
      <c r="A480" t="s">
        <v>358</v>
      </c>
      <c r="B480">
        <v>0</v>
      </c>
      <c r="C480">
        <v>159</v>
      </c>
      <c r="D480">
        <v>561</v>
      </c>
      <c r="E480">
        <v>2</v>
      </c>
      <c r="F480">
        <v>96</v>
      </c>
      <c r="G480">
        <v>99</v>
      </c>
      <c r="H480" t="s">
        <v>422</v>
      </c>
    </row>
    <row r="481" spans="1:8">
      <c r="A481" t="s">
        <v>358</v>
      </c>
      <c r="B481">
        <v>0</v>
      </c>
      <c r="C481">
        <v>159</v>
      </c>
      <c r="D481">
        <v>561</v>
      </c>
      <c r="E481">
        <v>3</v>
      </c>
      <c r="F481">
        <v>121</v>
      </c>
      <c r="G481">
        <v>79</v>
      </c>
      <c r="H481" t="s">
        <v>423</v>
      </c>
    </row>
    <row r="482" spans="1:8">
      <c r="A482" t="s">
        <v>358</v>
      </c>
      <c r="B482">
        <v>0</v>
      </c>
      <c r="C482">
        <v>159</v>
      </c>
      <c r="D482">
        <v>561</v>
      </c>
      <c r="E482">
        <v>4</v>
      </c>
      <c r="F482">
        <v>105</v>
      </c>
      <c r="G482">
        <v>93</v>
      </c>
      <c r="H482" t="s">
        <v>421</v>
      </c>
    </row>
    <row r="483" spans="1:8">
      <c r="A483" t="s">
        <v>358</v>
      </c>
      <c r="B483">
        <v>0</v>
      </c>
      <c r="C483">
        <v>159</v>
      </c>
      <c r="D483">
        <v>561</v>
      </c>
      <c r="E483">
        <v>5</v>
      </c>
      <c r="F483">
        <v>97</v>
      </c>
      <c r="G483">
        <v>113</v>
      </c>
      <c r="H483" t="s">
        <v>425</v>
      </c>
    </row>
    <row r="484" spans="1:8">
      <c r="A484" t="s">
        <v>358</v>
      </c>
      <c r="B484">
        <v>0</v>
      </c>
      <c r="C484">
        <v>179</v>
      </c>
      <c r="D484">
        <v>544</v>
      </c>
      <c r="E484">
        <v>0</v>
      </c>
      <c r="F484">
        <v>97</v>
      </c>
      <c r="G484">
        <v>113</v>
      </c>
      <c r="H484" t="s">
        <v>425</v>
      </c>
    </row>
    <row r="485" spans="1:8">
      <c r="A485" t="s">
        <v>358</v>
      </c>
      <c r="B485">
        <v>0</v>
      </c>
      <c r="C485">
        <v>179</v>
      </c>
      <c r="D485">
        <v>544</v>
      </c>
      <c r="E485">
        <v>1</v>
      </c>
      <c r="F485">
        <v>121</v>
      </c>
      <c r="G485">
        <v>79</v>
      </c>
      <c r="H485" t="s">
        <v>423</v>
      </c>
    </row>
    <row r="486" spans="1:8">
      <c r="A486" t="s">
        <v>358</v>
      </c>
      <c r="B486">
        <v>0</v>
      </c>
      <c r="C486">
        <v>179</v>
      </c>
      <c r="D486">
        <v>544</v>
      </c>
      <c r="E486">
        <v>2</v>
      </c>
      <c r="F486">
        <v>157</v>
      </c>
      <c r="G486">
        <v>61</v>
      </c>
      <c r="H486" t="s">
        <v>426</v>
      </c>
    </row>
    <row r="487" spans="1:8">
      <c r="A487" t="s">
        <v>358</v>
      </c>
      <c r="B487">
        <v>0</v>
      </c>
      <c r="C487">
        <v>179</v>
      </c>
      <c r="D487">
        <v>544</v>
      </c>
      <c r="E487">
        <v>3</v>
      </c>
      <c r="F487">
        <v>96</v>
      </c>
      <c r="G487">
        <v>99</v>
      </c>
      <c r="H487" t="s">
        <v>422</v>
      </c>
    </row>
    <row r="488" spans="1:8">
      <c r="A488" t="s">
        <v>358</v>
      </c>
      <c r="B488">
        <v>0</v>
      </c>
      <c r="C488">
        <v>179</v>
      </c>
      <c r="D488">
        <v>544</v>
      </c>
      <c r="E488">
        <v>4</v>
      </c>
      <c r="F488">
        <v>178</v>
      </c>
      <c r="G488">
        <v>86</v>
      </c>
      <c r="H488" t="s">
        <v>427</v>
      </c>
    </row>
    <row r="489" spans="1:8">
      <c r="A489" t="s">
        <v>358</v>
      </c>
      <c r="B489">
        <v>0</v>
      </c>
      <c r="C489">
        <v>179</v>
      </c>
      <c r="D489">
        <v>544</v>
      </c>
      <c r="E489">
        <v>5</v>
      </c>
      <c r="F489">
        <v>163</v>
      </c>
      <c r="G489">
        <v>104</v>
      </c>
      <c r="H489" t="s">
        <v>407</v>
      </c>
    </row>
    <row r="490" spans="1:8">
      <c r="A490" t="s">
        <v>358</v>
      </c>
      <c r="B490">
        <v>0</v>
      </c>
      <c r="C490">
        <v>199</v>
      </c>
      <c r="D490">
        <v>544</v>
      </c>
      <c r="E490">
        <v>0</v>
      </c>
      <c r="F490">
        <v>121</v>
      </c>
      <c r="G490">
        <v>79</v>
      </c>
      <c r="H490" t="s">
        <v>423</v>
      </c>
    </row>
    <row r="491" spans="1:8">
      <c r="A491" t="s">
        <v>358</v>
      </c>
      <c r="B491">
        <v>0</v>
      </c>
      <c r="C491">
        <v>199</v>
      </c>
      <c r="D491">
        <v>544</v>
      </c>
      <c r="E491">
        <v>1</v>
      </c>
      <c r="F491">
        <v>97</v>
      </c>
      <c r="G491">
        <v>113</v>
      </c>
      <c r="H491" t="s">
        <v>425</v>
      </c>
    </row>
    <row r="492" spans="1:8">
      <c r="A492" t="s">
        <v>358</v>
      </c>
      <c r="B492">
        <v>0</v>
      </c>
      <c r="C492">
        <v>199</v>
      </c>
      <c r="D492">
        <v>544</v>
      </c>
      <c r="E492">
        <v>2</v>
      </c>
      <c r="F492">
        <v>157</v>
      </c>
      <c r="G492">
        <v>61</v>
      </c>
      <c r="H492" t="s">
        <v>426</v>
      </c>
    </row>
    <row r="493" spans="1:8">
      <c r="A493" t="s">
        <v>358</v>
      </c>
      <c r="B493">
        <v>0</v>
      </c>
      <c r="C493">
        <v>199</v>
      </c>
      <c r="D493">
        <v>544</v>
      </c>
      <c r="E493">
        <v>3</v>
      </c>
      <c r="F493">
        <v>96</v>
      </c>
      <c r="G493">
        <v>99</v>
      </c>
      <c r="H493" t="s">
        <v>422</v>
      </c>
    </row>
    <row r="494" spans="1:8">
      <c r="A494" t="s">
        <v>358</v>
      </c>
      <c r="B494">
        <v>0</v>
      </c>
      <c r="C494">
        <v>199</v>
      </c>
      <c r="D494">
        <v>544</v>
      </c>
      <c r="E494">
        <v>4</v>
      </c>
      <c r="F494">
        <v>163</v>
      </c>
      <c r="G494">
        <v>104</v>
      </c>
      <c r="H494" t="s">
        <v>407</v>
      </c>
    </row>
    <row r="495" spans="1:8">
      <c r="A495" t="s">
        <v>358</v>
      </c>
      <c r="B495">
        <v>0</v>
      </c>
      <c r="C495">
        <v>199</v>
      </c>
      <c r="D495">
        <v>544</v>
      </c>
      <c r="E495">
        <v>5</v>
      </c>
      <c r="F495">
        <v>178</v>
      </c>
      <c r="G495">
        <v>86</v>
      </c>
      <c r="H495" t="s">
        <v>427</v>
      </c>
    </row>
    <row r="496" spans="1:8">
      <c r="A496" t="s">
        <v>358</v>
      </c>
      <c r="B496">
        <v>0</v>
      </c>
      <c r="C496">
        <v>219</v>
      </c>
      <c r="D496">
        <v>537</v>
      </c>
      <c r="E496">
        <v>0</v>
      </c>
      <c r="F496">
        <v>157</v>
      </c>
      <c r="G496">
        <v>61</v>
      </c>
      <c r="H496" t="s">
        <v>426</v>
      </c>
    </row>
    <row r="497" spans="1:8">
      <c r="A497" t="s">
        <v>358</v>
      </c>
      <c r="B497">
        <v>0</v>
      </c>
      <c r="C497">
        <v>219</v>
      </c>
      <c r="D497">
        <v>537</v>
      </c>
      <c r="E497">
        <v>1</v>
      </c>
      <c r="F497">
        <v>163</v>
      </c>
      <c r="G497">
        <v>104</v>
      </c>
      <c r="H497" t="s">
        <v>407</v>
      </c>
    </row>
    <row r="498" spans="1:8">
      <c r="A498" t="s">
        <v>358</v>
      </c>
      <c r="B498">
        <v>0</v>
      </c>
      <c r="C498">
        <v>219</v>
      </c>
      <c r="D498">
        <v>537</v>
      </c>
      <c r="E498">
        <v>2</v>
      </c>
      <c r="F498">
        <v>137</v>
      </c>
      <c r="G498">
        <v>70</v>
      </c>
      <c r="H498" t="s">
        <v>428</v>
      </c>
    </row>
    <row r="499" spans="1:8">
      <c r="A499" t="s">
        <v>358</v>
      </c>
      <c r="B499">
        <v>0</v>
      </c>
      <c r="C499">
        <v>219</v>
      </c>
      <c r="D499">
        <v>537</v>
      </c>
      <c r="E499">
        <v>3</v>
      </c>
      <c r="F499">
        <v>209</v>
      </c>
      <c r="G499">
        <v>87</v>
      </c>
      <c r="H499" t="s">
        <v>429</v>
      </c>
    </row>
    <row r="500" spans="1:8">
      <c r="A500" t="s">
        <v>358</v>
      </c>
      <c r="B500">
        <v>0</v>
      </c>
      <c r="C500">
        <v>219</v>
      </c>
      <c r="D500">
        <v>537</v>
      </c>
      <c r="E500">
        <v>4</v>
      </c>
      <c r="F500">
        <v>97</v>
      </c>
      <c r="G500">
        <v>113</v>
      </c>
      <c r="H500" t="s">
        <v>425</v>
      </c>
    </row>
    <row r="501" spans="1:8">
      <c r="A501" t="s">
        <v>358</v>
      </c>
      <c r="B501">
        <v>0</v>
      </c>
      <c r="C501">
        <v>219</v>
      </c>
      <c r="D501">
        <v>537</v>
      </c>
      <c r="E501">
        <v>5</v>
      </c>
      <c r="F501">
        <v>96</v>
      </c>
      <c r="G501">
        <v>99</v>
      </c>
      <c r="H501" t="s">
        <v>422</v>
      </c>
    </row>
    <row r="502" spans="1:8">
      <c r="A502" t="s">
        <v>358</v>
      </c>
      <c r="B502">
        <v>0</v>
      </c>
      <c r="C502">
        <v>119</v>
      </c>
      <c r="D502">
        <v>561</v>
      </c>
      <c r="E502">
        <v>0</v>
      </c>
      <c r="F502">
        <v>99</v>
      </c>
      <c r="G502">
        <v>104</v>
      </c>
      <c r="H502" t="s">
        <v>420</v>
      </c>
    </row>
    <row r="503" spans="1:8">
      <c r="A503" t="s">
        <v>358</v>
      </c>
      <c r="B503">
        <v>0</v>
      </c>
      <c r="C503">
        <v>119</v>
      </c>
      <c r="D503">
        <v>561</v>
      </c>
      <c r="E503">
        <v>1</v>
      </c>
      <c r="F503">
        <v>105</v>
      </c>
      <c r="G503">
        <v>93</v>
      </c>
      <c r="H503" t="s">
        <v>421</v>
      </c>
    </row>
    <row r="504" spans="1:8">
      <c r="A504" t="s">
        <v>358</v>
      </c>
      <c r="B504">
        <v>0</v>
      </c>
      <c r="C504">
        <v>119</v>
      </c>
      <c r="D504">
        <v>561</v>
      </c>
      <c r="E504">
        <v>2</v>
      </c>
      <c r="F504">
        <v>96</v>
      </c>
      <c r="G504">
        <v>99</v>
      </c>
      <c r="H504" t="s">
        <v>422</v>
      </c>
    </row>
    <row r="505" spans="1:8">
      <c r="A505" t="s">
        <v>358</v>
      </c>
      <c r="B505">
        <v>0</v>
      </c>
      <c r="C505">
        <v>119</v>
      </c>
      <c r="D505">
        <v>561</v>
      </c>
      <c r="E505">
        <v>3</v>
      </c>
      <c r="F505">
        <v>121</v>
      </c>
      <c r="G505">
        <v>79</v>
      </c>
      <c r="H505" t="s">
        <v>423</v>
      </c>
    </row>
    <row r="506" spans="1:8">
      <c r="A506" t="s">
        <v>358</v>
      </c>
      <c r="B506">
        <v>0</v>
      </c>
      <c r="C506">
        <v>119</v>
      </c>
      <c r="D506">
        <v>561</v>
      </c>
      <c r="E506">
        <v>4</v>
      </c>
      <c r="F506">
        <v>12</v>
      </c>
      <c r="G506">
        <v>72</v>
      </c>
      <c r="H506" t="s">
        <v>424</v>
      </c>
    </row>
    <row r="507" spans="1:8">
      <c r="A507" t="s">
        <v>358</v>
      </c>
      <c r="B507">
        <v>0</v>
      </c>
      <c r="C507">
        <v>119</v>
      </c>
      <c r="D507">
        <v>561</v>
      </c>
      <c r="E507">
        <v>5</v>
      </c>
      <c r="F507">
        <v>97</v>
      </c>
      <c r="G507">
        <v>113</v>
      </c>
      <c r="H507" t="s">
        <v>425</v>
      </c>
    </row>
    <row r="508" spans="1:8">
      <c r="A508" t="s">
        <v>358</v>
      </c>
      <c r="B508">
        <v>0</v>
      </c>
      <c r="C508">
        <v>139</v>
      </c>
      <c r="D508">
        <v>561</v>
      </c>
      <c r="E508">
        <v>0</v>
      </c>
      <c r="F508">
        <v>96</v>
      </c>
      <c r="G508">
        <v>99</v>
      </c>
      <c r="H508" t="s">
        <v>422</v>
      </c>
    </row>
    <row r="509" spans="1:8">
      <c r="A509" t="s">
        <v>358</v>
      </c>
      <c r="B509">
        <v>0</v>
      </c>
      <c r="C509">
        <v>139</v>
      </c>
      <c r="D509">
        <v>561</v>
      </c>
      <c r="E509">
        <v>1</v>
      </c>
      <c r="F509">
        <v>12</v>
      </c>
      <c r="G509">
        <v>72</v>
      </c>
      <c r="H509" t="s">
        <v>424</v>
      </c>
    </row>
    <row r="510" spans="1:8">
      <c r="A510" t="s">
        <v>358</v>
      </c>
      <c r="B510">
        <v>0</v>
      </c>
      <c r="C510">
        <v>139</v>
      </c>
      <c r="D510">
        <v>561</v>
      </c>
      <c r="E510">
        <v>2</v>
      </c>
      <c r="F510">
        <v>99</v>
      </c>
      <c r="G510">
        <v>104</v>
      </c>
      <c r="H510" t="s">
        <v>420</v>
      </c>
    </row>
    <row r="511" spans="1:8">
      <c r="A511" t="s">
        <v>358</v>
      </c>
      <c r="B511">
        <v>0</v>
      </c>
      <c r="C511">
        <v>139</v>
      </c>
      <c r="D511">
        <v>561</v>
      </c>
      <c r="E511">
        <v>3</v>
      </c>
      <c r="F511">
        <v>97</v>
      </c>
      <c r="G511">
        <v>113</v>
      </c>
      <c r="H511" t="s">
        <v>425</v>
      </c>
    </row>
    <row r="512" spans="1:8">
      <c r="A512" t="s">
        <v>358</v>
      </c>
      <c r="B512">
        <v>0</v>
      </c>
      <c r="C512">
        <v>139</v>
      </c>
      <c r="D512">
        <v>561</v>
      </c>
      <c r="E512">
        <v>4</v>
      </c>
      <c r="F512">
        <v>121</v>
      </c>
      <c r="G512">
        <v>79</v>
      </c>
      <c r="H512" t="s">
        <v>423</v>
      </c>
    </row>
    <row r="513" spans="1:8">
      <c r="A513" t="s">
        <v>358</v>
      </c>
      <c r="B513">
        <v>0</v>
      </c>
      <c r="C513">
        <v>139</v>
      </c>
      <c r="D513">
        <v>561</v>
      </c>
      <c r="E513">
        <v>5</v>
      </c>
      <c r="F513">
        <v>105</v>
      </c>
      <c r="G513">
        <v>93</v>
      </c>
      <c r="H513" t="s">
        <v>421</v>
      </c>
    </row>
    <row r="514" spans="1:8">
      <c r="A514" t="s">
        <v>358</v>
      </c>
      <c r="B514">
        <v>0</v>
      </c>
      <c r="C514">
        <v>159</v>
      </c>
      <c r="D514">
        <v>561</v>
      </c>
      <c r="E514">
        <v>0</v>
      </c>
      <c r="F514">
        <v>99</v>
      </c>
      <c r="G514">
        <v>104</v>
      </c>
      <c r="H514" t="s">
        <v>420</v>
      </c>
    </row>
    <row r="515" spans="1:8">
      <c r="A515" t="s">
        <v>358</v>
      </c>
      <c r="B515">
        <v>0</v>
      </c>
      <c r="C515">
        <v>159</v>
      </c>
      <c r="D515">
        <v>561</v>
      </c>
      <c r="E515">
        <v>1</v>
      </c>
      <c r="F515">
        <v>12</v>
      </c>
      <c r="G515">
        <v>72</v>
      </c>
      <c r="H515" t="s">
        <v>424</v>
      </c>
    </row>
    <row r="516" spans="1:8">
      <c r="A516" t="s">
        <v>358</v>
      </c>
      <c r="B516">
        <v>0</v>
      </c>
      <c r="C516">
        <v>159</v>
      </c>
      <c r="D516">
        <v>561</v>
      </c>
      <c r="E516">
        <v>2</v>
      </c>
      <c r="F516">
        <v>96</v>
      </c>
      <c r="G516">
        <v>99</v>
      </c>
      <c r="H516" t="s">
        <v>422</v>
      </c>
    </row>
    <row r="517" spans="1:8">
      <c r="A517" t="s">
        <v>358</v>
      </c>
      <c r="B517">
        <v>0</v>
      </c>
      <c r="C517">
        <v>159</v>
      </c>
      <c r="D517">
        <v>561</v>
      </c>
      <c r="E517">
        <v>3</v>
      </c>
      <c r="F517">
        <v>121</v>
      </c>
      <c r="G517">
        <v>79</v>
      </c>
      <c r="H517" t="s">
        <v>423</v>
      </c>
    </row>
    <row r="518" spans="1:8">
      <c r="A518" t="s">
        <v>358</v>
      </c>
      <c r="B518">
        <v>0</v>
      </c>
      <c r="C518">
        <v>159</v>
      </c>
      <c r="D518">
        <v>561</v>
      </c>
      <c r="E518">
        <v>4</v>
      </c>
      <c r="F518">
        <v>105</v>
      </c>
      <c r="G518">
        <v>93</v>
      </c>
      <c r="H518" t="s">
        <v>421</v>
      </c>
    </row>
    <row r="519" spans="1:8">
      <c r="A519" t="s">
        <v>358</v>
      </c>
      <c r="B519">
        <v>0</v>
      </c>
      <c r="C519">
        <v>159</v>
      </c>
      <c r="D519">
        <v>561</v>
      </c>
      <c r="E519">
        <v>5</v>
      </c>
      <c r="F519">
        <v>97</v>
      </c>
      <c r="G519">
        <v>113</v>
      </c>
      <c r="H519" t="s">
        <v>425</v>
      </c>
    </row>
    <row r="520" spans="1:8">
      <c r="A520" t="s">
        <v>358</v>
      </c>
      <c r="B520">
        <v>0</v>
      </c>
      <c r="C520">
        <v>179</v>
      </c>
      <c r="D520">
        <v>544</v>
      </c>
      <c r="E520">
        <v>0</v>
      </c>
      <c r="F520">
        <v>97</v>
      </c>
      <c r="G520">
        <v>113</v>
      </c>
      <c r="H520" t="s">
        <v>425</v>
      </c>
    </row>
    <row r="521" spans="1:8">
      <c r="A521" t="s">
        <v>358</v>
      </c>
      <c r="B521">
        <v>0</v>
      </c>
      <c r="C521">
        <v>179</v>
      </c>
      <c r="D521">
        <v>544</v>
      </c>
      <c r="E521">
        <v>1</v>
      </c>
      <c r="F521">
        <v>121</v>
      </c>
      <c r="G521">
        <v>79</v>
      </c>
      <c r="H521" t="s">
        <v>423</v>
      </c>
    </row>
    <row r="522" spans="1:8">
      <c r="A522" t="s">
        <v>358</v>
      </c>
      <c r="B522">
        <v>0</v>
      </c>
      <c r="C522">
        <v>179</v>
      </c>
      <c r="D522">
        <v>544</v>
      </c>
      <c r="E522">
        <v>2</v>
      </c>
      <c r="F522">
        <v>157</v>
      </c>
      <c r="G522">
        <v>61</v>
      </c>
      <c r="H522" t="s">
        <v>426</v>
      </c>
    </row>
    <row r="523" spans="1:8">
      <c r="A523" t="s">
        <v>358</v>
      </c>
      <c r="B523">
        <v>0</v>
      </c>
      <c r="C523">
        <v>179</v>
      </c>
      <c r="D523">
        <v>544</v>
      </c>
      <c r="E523">
        <v>3</v>
      </c>
      <c r="F523">
        <v>96</v>
      </c>
      <c r="G523">
        <v>99</v>
      </c>
      <c r="H523" t="s">
        <v>422</v>
      </c>
    </row>
    <row r="524" spans="1:8">
      <c r="A524" t="s">
        <v>358</v>
      </c>
      <c r="B524">
        <v>0</v>
      </c>
      <c r="C524">
        <v>179</v>
      </c>
      <c r="D524">
        <v>544</v>
      </c>
      <c r="E524">
        <v>4</v>
      </c>
      <c r="F524">
        <v>178</v>
      </c>
      <c r="G524">
        <v>86</v>
      </c>
      <c r="H524" t="s">
        <v>427</v>
      </c>
    </row>
    <row r="525" spans="1:8">
      <c r="A525" t="s">
        <v>358</v>
      </c>
      <c r="B525">
        <v>0</v>
      </c>
      <c r="C525">
        <v>179</v>
      </c>
      <c r="D525">
        <v>544</v>
      </c>
      <c r="E525">
        <v>5</v>
      </c>
      <c r="F525">
        <v>163</v>
      </c>
      <c r="G525">
        <v>104</v>
      </c>
      <c r="H525" t="s">
        <v>407</v>
      </c>
    </row>
    <row r="526" spans="1:8">
      <c r="A526" t="s">
        <v>358</v>
      </c>
      <c r="B526">
        <v>0</v>
      </c>
      <c r="C526">
        <v>199</v>
      </c>
      <c r="D526">
        <v>544</v>
      </c>
      <c r="E526">
        <v>0</v>
      </c>
      <c r="F526">
        <v>121</v>
      </c>
      <c r="G526">
        <v>79</v>
      </c>
      <c r="H526" t="s">
        <v>423</v>
      </c>
    </row>
    <row r="527" spans="1:8">
      <c r="A527" t="s">
        <v>358</v>
      </c>
      <c r="B527">
        <v>0</v>
      </c>
      <c r="C527">
        <v>199</v>
      </c>
      <c r="D527">
        <v>544</v>
      </c>
      <c r="E527">
        <v>1</v>
      </c>
      <c r="F527">
        <v>97</v>
      </c>
      <c r="G527">
        <v>113</v>
      </c>
      <c r="H527" t="s">
        <v>425</v>
      </c>
    </row>
    <row r="528" spans="1:8">
      <c r="A528" t="s">
        <v>358</v>
      </c>
      <c r="B528">
        <v>0</v>
      </c>
      <c r="C528">
        <v>199</v>
      </c>
      <c r="D528">
        <v>544</v>
      </c>
      <c r="E528">
        <v>2</v>
      </c>
      <c r="F528">
        <v>157</v>
      </c>
      <c r="G528">
        <v>61</v>
      </c>
      <c r="H528" t="s">
        <v>426</v>
      </c>
    </row>
    <row r="529" spans="1:8">
      <c r="A529" t="s">
        <v>358</v>
      </c>
      <c r="B529">
        <v>0</v>
      </c>
      <c r="C529">
        <v>199</v>
      </c>
      <c r="D529">
        <v>544</v>
      </c>
      <c r="E529">
        <v>3</v>
      </c>
      <c r="F529">
        <v>96</v>
      </c>
      <c r="G529">
        <v>99</v>
      </c>
      <c r="H529" t="s">
        <v>422</v>
      </c>
    </row>
    <row r="530" spans="1:8">
      <c r="A530" t="s">
        <v>358</v>
      </c>
      <c r="B530">
        <v>0</v>
      </c>
      <c r="C530">
        <v>199</v>
      </c>
      <c r="D530">
        <v>544</v>
      </c>
      <c r="E530">
        <v>4</v>
      </c>
      <c r="F530">
        <v>163</v>
      </c>
      <c r="G530">
        <v>104</v>
      </c>
      <c r="H530" t="s">
        <v>407</v>
      </c>
    </row>
    <row r="531" spans="1:8">
      <c r="A531" t="s">
        <v>358</v>
      </c>
      <c r="B531">
        <v>0</v>
      </c>
      <c r="C531">
        <v>199</v>
      </c>
      <c r="D531">
        <v>544</v>
      </c>
      <c r="E531">
        <v>5</v>
      </c>
      <c r="F531">
        <v>178</v>
      </c>
      <c r="G531">
        <v>86</v>
      </c>
      <c r="H531" t="s">
        <v>427</v>
      </c>
    </row>
    <row r="532" spans="1:8">
      <c r="A532" t="s">
        <v>358</v>
      </c>
      <c r="B532">
        <v>0</v>
      </c>
      <c r="C532">
        <v>219</v>
      </c>
      <c r="D532">
        <v>537</v>
      </c>
      <c r="E532">
        <v>0</v>
      </c>
      <c r="F532">
        <v>157</v>
      </c>
      <c r="G532">
        <v>61</v>
      </c>
      <c r="H532" t="s">
        <v>426</v>
      </c>
    </row>
    <row r="533" spans="1:8">
      <c r="A533" t="s">
        <v>358</v>
      </c>
      <c r="B533">
        <v>0</v>
      </c>
      <c r="C533">
        <v>219</v>
      </c>
      <c r="D533">
        <v>537</v>
      </c>
      <c r="E533">
        <v>1</v>
      </c>
      <c r="F533">
        <v>163</v>
      </c>
      <c r="G533">
        <v>104</v>
      </c>
      <c r="H533" t="s">
        <v>407</v>
      </c>
    </row>
    <row r="534" spans="1:8">
      <c r="A534" t="s">
        <v>358</v>
      </c>
      <c r="B534">
        <v>0</v>
      </c>
      <c r="C534">
        <v>219</v>
      </c>
      <c r="D534">
        <v>537</v>
      </c>
      <c r="E534">
        <v>2</v>
      </c>
      <c r="F534">
        <v>137</v>
      </c>
      <c r="G534">
        <v>70</v>
      </c>
      <c r="H534" t="s">
        <v>428</v>
      </c>
    </row>
    <row r="535" spans="1:8">
      <c r="A535" t="s">
        <v>358</v>
      </c>
      <c r="B535">
        <v>0</v>
      </c>
      <c r="C535">
        <v>219</v>
      </c>
      <c r="D535">
        <v>537</v>
      </c>
      <c r="E535">
        <v>3</v>
      </c>
      <c r="F535">
        <v>209</v>
      </c>
      <c r="G535">
        <v>87</v>
      </c>
      <c r="H535" t="s">
        <v>429</v>
      </c>
    </row>
    <row r="536" spans="1:8">
      <c r="A536" t="s">
        <v>358</v>
      </c>
      <c r="B536">
        <v>0</v>
      </c>
      <c r="C536">
        <v>219</v>
      </c>
      <c r="D536">
        <v>537</v>
      </c>
      <c r="E536">
        <v>4</v>
      </c>
      <c r="F536">
        <v>97</v>
      </c>
      <c r="G536">
        <v>113</v>
      </c>
      <c r="H536" t="s">
        <v>425</v>
      </c>
    </row>
    <row r="537" spans="1:8">
      <c r="A537" t="s">
        <v>358</v>
      </c>
      <c r="B537">
        <v>0</v>
      </c>
      <c r="C537">
        <v>219</v>
      </c>
      <c r="D537">
        <v>537</v>
      </c>
      <c r="E537">
        <v>5</v>
      </c>
      <c r="F537">
        <v>96</v>
      </c>
      <c r="G537">
        <v>99</v>
      </c>
      <c r="H537" t="s">
        <v>422</v>
      </c>
    </row>
    <row r="538" spans="1:8">
      <c r="A538" t="s">
        <v>358</v>
      </c>
      <c r="B538">
        <v>0</v>
      </c>
      <c r="C538">
        <v>119</v>
      </c>
      <c r="D538">
        <v>561</v>
      </c>
      <c r="E538">
        <v>0</v>
      </c>
      <c r="F538">
        <v>99</v>
      </c>
      <c r="G538">
        <v>104</v>
      </c>
      <c r="H538" t="s">
        <v>420</v>
      </c>
    </row>
    <row r="539" spans="1:8">
      <c r="A539" t="s">
        <v>358</v>
      </c>
      <c r="B539">
        <v>0</v>
      </c>
      <c r="C539">
        <v>119</v>
      </c>
      <c r="D539">
        <v>561</v>
      </c>
      <c r="E539">
        <v>1</v>
      </c>
      <c r="F539">
        <v>105</v>
      </c>
      <c r="G539">
        <v>93</v>
      </c>
      <c r="H539" t="s">
        <v>421</v>
      </c>
    </row>
    <row r="540" spans="1:8">
      <c r="A540" t="s">
        <v>358</v>
      </c>
      <c r="B540">
        <v>0</v>
      </c>
      <c r="C540">
        <v>119</v>
      </c>
      <c r="D540">
        <v>561</v>
      </c>
      <c r="E540">
        <v>2</v>
      </c>
      <c r="F540">
        <v>96</v>
      </c>
      <c r="G540">
        <v>99</v>
      </c>
      <c r="H540" t="s">
        <v>422</v>
      </c>
    </row>
    <row r="541" spans="1:8">
      <c r="A541" t="s">
        <v>358</v>
      </c>
      <c r="B541">
        <v>0</v>
      </c>
      <c r="C541">
        <v>119</v>
      </c>
      <c r="D541">
        <v>561</v>
      </c>
      <c r="E541">
        <v>3</v>
      </c>
      <c r="F541">
        <v>121</v>
      </c>
      <c r="G541">
        <v>79</v>
      </c>
      <c r="H541" t="s">
        <v>423</v>
      </c>
    </row>
    <row r="542" spans="1:8">
      <c r="A542" t="s">
        <v>358</v>
      </c>
      <c r="B542">
        <v>0</v>
      </c>
      <c r="C542">
        <v>119</v>
      </c>
      <c r="D542">
        <v>561</v>
      </c>
      <c r="E542">
        <v>4</v>
      </c>
      <c r="F542">
        <v>12</v>
      </c>
      <c r="G542">
        <v>72</v>
      </c>
      <c r="H542" t="s">
        <v>424</v>
      </c>
    </row>
    <row r="543" spans="1:8">
      <c r="A543" t="s">
        <v>358</v>
      </c>
      <c r="B543">
        <v>0</v>
      </c>
      <c r="C543">
        <v>119</v>
      </c>
      <c r="D543">
        <v>561</v>
      </c>
      <c r="E543">
        <v>5</v>
      </c>
      <c r="F543">
        <v>97</v>
      </c>
      <c r="G543">
        <v>113</v>
      </c>
      <c r="H543" t="s">
        <v>425</v>
      </c>
    </row>
    <row r="544" spans="1:8">
      <c r="A544" t="s">
        <v>358</v>
      </c>
      <c r="B544">
        <v>0</v>
      </c>
      <c r="C544">
        <v>139</v>
      </c>
      <c r="D544">
        <v>561</v>
      </c>
      <c r="E544">
        <v>0</v>
      </c>
      <c r="F544">
        <v>96</v>
      </c>
      <c r="G544">
        <v>99</v>
      </c>
      <c r="H544" t="s">
        <v>422</v>
      </c>
    </row>
    <row r="545" spans="1:8">
      <c r="A545" t="s">
        <v>358</v>
      </c>
      <c r="B545">
        <v>0</v>
      </c>
      <c r="C545">
        <v>139</v>
      </c>
      <c r="D545">
        <v>561</v>
      </c>
      <c r="E545">
        <v>1</v>
      </c>
      <c r="F545">
        <v>12</v>
      </c>
      <c r="G545">
        <v>72</v>
      </c>
      <c r="H545" t="s">
        <v>424</v>
      </c>
    </row>
    <row r="546" spans="1:8">
      <c r="A546" t="s">
        <v>358</v>
      </c>
      <c r="B546">
        <v>0</v>
      </c>
      <c r="C546">
        <v>139</v>
      </c>
      <c r="D546">
        <v>561</v>
      </c>
      <c r="E546">
        <v>2</v>
      </c>
      <c r="F546">
        <v>99</v>
      </c>
      <c r="G546">
        <v>104</v>
      </c>
      <c r="H546" t="s">
        <v>420</v>
      </c>
    </row>
    <row r="547" spans="1:8">
      <c r="A547" t="s">
        <v>358</v>
      </c>
      <c r="B547">
        <v>0</v>
      </c>
      <c r="C547">
        <v>139</v>
      </c>
      <c r="D547">
        <v>561</v>
      </c>
      <c r="E547">
        <v>3</v>
      </c>
      <c r="F547">
        <v>97</v>
      </c>
      <c r="G547">
        <v>113</v>
      </c>
      <c r="H547" t="s">
        <v>425</v>
      </c>
    </row>
    <row r="548" spans="1:8">
      <c r="A548" t="s">
        <v>358</v>
      </c>
      <c r="B548">
        <v>0</v>
      </c>
      <c r="C548">
        <v>139</v>
      </c>
      <c r="D548">
        <v>561</v>
      </c>
      <c r="E548">
        <v>4</v>
      </c>
      <c r="F548">
        <v>121</v>
      </c>
      <c r="G548">
        <v>79</v>
      </c>
      <c r="H548" t="s">
        <v>423</v>
      </c>
    </row>
    <row r="549" spans="1:8">
      <c r="A549" t="s">
        <v>358</v>
      </c>
      <c r="B549">
        <v>0</v>
      </c>
      <c r="C549">
        <v>139</v>
      </c>
      <c r="D549">
        <v>561</v>
      </c>
      <c r="E549">
        <v>5</v>
      </c>
      <c r="F549">
        <v>105</v>
      </c>
      <c r="G549">
        <v>93</v>
      </c>
      <c r="H549" t="s">
        <v>421</v>
      </c>
    </row>
    <row r="550" spans="1:8">
      <c r="A550" t="s">
        <v>358</v>
      </c>
      <c r="B550">
        <v>0</v>
      </c>
      <c r="C550">
        <v>159</v>
      </c>
      <c r="D550">
        <v>561</v>
      </c>
      <c r="E550">
        <v>0</v>
      </c>
      <c r="F550">
        <v>99</v>
      </c>
      <c r="G550">
        <v>104</v>
      </c>
      <c r="H550" t="s">
        <v>420</v>
      </c>
    </row>
    <row r="551" spans="1:8">
      <c r="A551" t="s">
        <v>358</v>
      </c>
      <c r="B551">
        <v>0</v>
      </c>
      <c r="C551">
        <v>159</v>
      </c>
      <c r="D551">
        <v>561</v>
      </c>
      <c r="E551">
        <v>1</v>
      </c>
      <c r="F551">
        <v>12</v>
      </c>
      <c r="G551">
        <v>72</v>
      </c>
      <c r="H551" t="s">
        <v>424</v>
      </c>
    </row>
    <row r="552" spans="1:8">
      <c r="A552" t="s">
        <v>358</v>
      </c>
      <c r="B552">
        <v>0</v>
      </c>
      <c r="C552">
        <v>159</v>
      </c>
      <c r="D552">
        <v>561</v>
      </c>
      <c r="E552">
        <v>2</v>
      </c>
      <c r="F552">
        <v>96</v>
      </c>
      <c r="G552">
        <v>99</v>
      </c>
      <c r="H552" t="s">
        <v>422</v>
      </c>
    </row>
    <row r="553" spans="1:8">
      <c r="A553" t="s">
        <v>358</v>
      </c>
      <c r="B553">
        <v>0</v>
      </c>
      <c r="C553">
        <v>159</v>
      </c>
      <c r="D553">
        <v>561</v>
      </c>
      <c r="E553">
        <v>3</v>
      </c>
      <c r="F553">
        <v>121</v>
      </c>
      <c r="G553">
        <v>79</v>
      </c>
      <c r="H553" t="s">
        <v>423</v>
      </c>
    </row>
    <row r="554" spans="1:8">
      <c r="A554" t="s">
        <v>358</v>
      </c>
      <c r="B554">
        <v>0</v>
      </c>
      <c r="C554">
        <v>159</v>
      </c>
      <c r="D554">
        <v>561</v>
      </c>
      <c r="E554">
        <v>4</v>
      </c>
      <c r="F554">
        <v>105</v>
      </c>
      <c r="G554">
        <v>93</v>
      </c>
      <c r="H554" t="s">
        <v>421</v>
      </c>
    </row>
    <row r="555" spans="1:8">
      <c r="A555" t="s">
        <v>358</v>
      </c>
      <c r="B555">
        <v>0</v>
      </c>
      <c r="C555">
        <v>159</v>
      </c>
      <c r="D555">
        <v>561</v>
      </c>
      <c r="E555">
        <v>5</v>
      </c>
      <c r="F555">
        <v>97</v>
      </c>
      <c r="G555">
        <v>113</v>
      </c>
      <c r="H555" t="s">
        <v>425</v>
      </c>
    </row>
    <row r="556" spans="1:8">
      <c r="A556" t="s">
        <v>358</v>
      </c>
      <c r="B556">
        <v>0</v>
      </c>
      <c r="C556">
        <v>179</v>
      </c>
      <c r="D556">
        <v>544</v>
      </c>
      <c r="E556">
        <v>0</v>
      </c>
      <c r="F556">
        <v>97</v>
      </c>
      <c r="G556">
        <v>113</v>
      </c>
      <c r="H556" t="s">
        <v>425</v>
      </c>
    </row>
    <row r="557" spans="1:8">
      <c r="A557" t="s">
        <v>358</v>
      </c>
      <c r="B557">
        <v>0</v>
      </c>
      <c r="C557">
        <v>179</v>
      </c>
      <c r="D557">
        <v>544</v>
      </c>
      <c r="E557">
        <v>1</v>
      </c>
      <c r="F557">
        <v>121</v>
      </c>
      <c r="G557">
        <v>79</v>
      </c>
      <c r="H557" t="s">
        <v>423</v>
      </c>
    </row>
    <row r="558" spans="1:8">
      <c r="A558" t="s">
        <v>358</v>
      </c>
      <c r="B558">
        <v>0</v>
      </c>
      <c r="C558">
        <v>179</v>
      </c>
      <c r="D558">
        <v>544</v>
      </c>
      <c r="E558">
        <v>2</v>
      </c>
      <c r="F558">
        <v>157</v>
      </c>
      <c r="G558">
        <v>61</v>
      </c>
      <c r="H558" t="s">
        <v>426</v>
      </c>
    </row>
    <row r="559" spans="1:8">
      <c r="A559" t="s">
        <v>358</v>
      </c>
      <c r="B559">
        <v>0</v>
      </c>
      <c r="C559">
        <v>179</v>
      </c>
      <c r="D559">
        <v>544</v>
      </c>
      <c r="E559">
        <v>3</v>
      </c>
      <c r="F559">
        <v>96</v>
      </c>
      <c r="G559">
        <v>99</v>
      </c>
      <c r="H559" t="s">
        <v>422</v>
      </c>
    </row>
    <row r="560" spans="1:8">
      <c r="A560" t="s">
        <v>358</v>
      </c>
      <c r="B560">
        <v>0</v>
      </c>
      <c r="C560">
        <v>179</v>
      </c>
      <c r="D560">
        <v>544</v>
      </c>
      <c r="E560">
        <v>4</v>
      </c>
      <c r="F560">
        <v>178</v>
      </c>
      <c r="G560">
        <v>86</v>
      </c>
      <c r="H560" t="s">
        <v>427</v>
      </c>
    </row>
    <row r="561" spans="1:8">
      <c r="A561" t="s">
        <v>358</v>
      </c>
      <c r="B561">
        <v>0</v>
      </c>
      <c r="C561">
        <v>179</v>
      </c>
      <c r="D561">
        <v>544</v>
      </c>
      <c r="E561">
        <v>5</v>
      </c>
      <c r="F561">
        <v>163</v>
      </c>
      <c r="G561">
        <v>104</v>
      </c>
      <c r="H561" t="s">
        <v>407</v>
      </c>
    </row>
    <row r="562" spans="1:8">
      <c r="A562" t="s">
        <v>358</v>
      </c>
      <c r="B562">
        <v>0</v>
      </c>
      <c r="C562">
        <v>199</v>
      </c>
      <c r="D562">
        <v>544</v>
      </c>
      <c r="E562">
        <v>0</v>
      </c>
      <c r="F562">
        <v>121</v>
      </c>
      <c r="G562">
        <v>79</v>
      </c>
      <c r="H562" t="s">
        <v>423</v>
      </c>
    </row>
    <row r="563" spans="1:8">
      <c r="A563" t="s">
        <v>358</v>
      </c>
      <c r="B563">
        <v>0</v>
      </c>
      <c r="C563">
        <v>199</v>
      </c>
      <c r="D563">
        <v>544</v>
      </c>
      <c r="E563">
        <v>1</v>
      </c>
      <c r="F563">
        <v>97</v>
      </c>
      <c r="G563">
        <v>113</v>
      </c>
      <c r="H563" t="s">
        <v>425</v>
      </c>
    </row>
    <row r="564" spans="1:8">
      <c r="A564" t="s">
        <v>358</v>
      </c>
      <c r="B564">
        <v>0</v>
      </c>
      <c r="C564">
        <v>199</v>
      </c>
      <c r="D564">
        <v>544</v>
      </c>
      <c r="E564">
        <v>2</v>
      </c>
      <c r="F564">
        <v>157</v>
      </c>
      <c r="G564">
        <v>61</v>
      </c>
      <c r="H564" t="s">
        <v>426</v>
      </c>
    </row>
    <row r="565" spans="1:8">
      <c r="A565" t="s">
        <v>358</v>
      </c>
      <c r="B565">
        <v>0</v>
      </c>
      <c r="C565">
        <v>199</v>
      </c>
      <c r="D565">
        <v>544</v>
      </c>
      <c r="E565">
        <v>3</v>
      </c>
      <c r="F565">
        <v>96</v>
      </c>
      <c r="G565">
        <v>99</v>
      </c>
      <c r="H565" t="s">
        <v>422</v>
      </c>
    </row>
    <row r="566" spans="1:8">
      <c r="A566" t="s">
        <v>358</v>
      </c>
      <c r="B566">
        <v>0</v>
      </c>
      <c r="C566">
        <v>199</v>
      </c>
      <c r="D566">
        <v>544</v>
      </c>
      <c r="E566">
        <v>4</v>
      </c>
      <c r="F566">
        <v>163</v>
      </c>
      <c r="G566">
        <v>104</v>
      </c>
      <c r="H566" t="s">
        <v>407</v>
      </c>
    </row>
    <row r="567" spans="1:8">
      <c r="A567" t="s">
        <v>358</v>
      </c>
      <c r="B567">
        <v>0</v>
      </c>
      <c r="C567">
        <v>199</v>
      </c>
      <c r="D567">
        <v>544</v>
      </c>
      <c r="E567">
        <v>5</v>
      </c>
      <c r="F567">
        <v>178</v>
      </c>
      <c r="G567">
        <v>86</v>
      </c>
      <c r="H567" t="s">
        <v>427</v>
      </c>
    </row>
    <row r="568" spans="1:8">
      <c r="A568" t="s">
        <v>358</v>
      </c>
      <c r="B568">
        <v>0</v>
      </c>
      <c r="C568">
        <v>219</v>
      </c>
      <c r="D568">
        <v>537</v>
      </c>
      <c r="E568">
        <v>0</v>
      </c>
      <c r="F568">
        <v>157</v>
      </c>
      <c r="G568">
        <v>61</v>
      </c>
      <c r="H568" t="s">
        <v>426</v>
      </c>
    </row>
    <row r="569" spans="1:8">
      <c r="A569" t="s">
        <v>358</v>
      </c>
      <c r="B569">
        <v>0</v>
      </c>
      <c r="C569">
        <v>219</v>
      </c>
      <c r="D569">
        <v>537</v>
      </c>
      <c r="E569">
        <v>1</v>
      </c>
      <c r="F569">
        <v>163</v>
      </c>
      <c r="G569">
        <v>104</v>
      </c>
      <c r="H569" t="s">
        <v>407</v>
      </c>
    </row>
    <row r="570" spans="1:8">
      <c r="A570" t="s">
        <v>358</v>
      </c>
      <c r="B570">
        <v>0</v>
      </c>
      <c r="C570">
        <v>219</v>
      </c>
      <c r="D570">
        <v>537</v>
      </c>
      <c r="E570">
        <v>2</v>
      </c>
      <c r="F570">
        <v>137</v>
      </c>
      <c r="G570">
        <v>70</v>
      </c>
      <c r="H570" t="s">
        <v>428</v>
      </c>
    </row>
    <row r="571" spans="1:8">
      <c r="A571" t="s">
        <v>358</v>
      </c>
      <c r="B571">
        <v>0</v>
      </c>
      <c r="C571">
        <v>219</v>
      </c>
      <c r="D571">
        <v>537</v>
      </c>
      <c r="E571">
        <v>3</v>
      </c>
      <c r="F571">
        <v>209</v>
      </c>
      <c r="G571">
        <v>87</v>
      </c>
      <c r="H571" t="s">
        <v>429</v>
      </c>
    </row>
    <row r="572" spans="1:8">
      <c r="A572" t="s">
        <v>358</v>
      </c>
      <c r="B572">
        <v>0</v>
      </c>
      <c r="C572">
        <v>219</v>
      </c>
      <c r="D572">
        <v>537</v>
      </c>
      <c r="E572">
        <v>4</v>
      </c>
      <c r="F572">
        <v>97</v>
      </c>
      <c r="G572">
        <v>113</v>
      </c>
      <c r="H572" t="s">
        <v>425</v>
      </c>
    </row>
    <row r="573" spans="1:8">
      <c r="A573" t="s">
        <v>358</v>
      </c>
      <c r="B573">
        <v>0</v>
      </c>
      <c r="C573">
        <v>219</v>
      </c>
      <c r="D573">
        <v>537</v>
      </c>
      <c r="E573">
        <v>5</v>
      </c>
      <c r="F573">
        <v>96</v>
      </c>
      <c r="G573">
        <v>99</v>
      </c>
      <c r="H573" t="s">
        <v>422</v>
      </c>
    </row>
    <row r="574" spans="1:8">
      <c r="A574" t="s">
        <v>358</v>
      </c>
      <c r="B574">
        <v>0</v>
      </c>
      <c r="C574">
        <v>199</v>
      </c>
      <c r="D574">
        <v>571</v>
      </c>
      <c r="E574">
        <v>0</v>
      </c>
      <c r="F574">
        <v>33</v>
      </c>
      <c r="G574">
        <v>143</v>
      </c>
      <c r="H574" t="s">
        <v>430</v>
      </c>
    </row>
    <row r="575" spans="1:8">
      <c r="A575" t="s">
        <v>358</v>
      </c>
      <c r="B575">
        <v>0</v>
      </c>
      <c r="C575">
        <v>199</v>
      </c>
      <c r="D575">
        <v>571</v>
      </c>
      <c r="E575">
        <v>1</v>
      </c>
      <c r="F575">
        <v>130</v>
      </c>
      <c r="G575">
        <v>116</v>
      </c>
      <c r="H575" t="s">
        <v>431</v>
      </c>
    </row>
    <row r="576" spans="1:8">
      <c r="A576" t="s">
        <v>358</v>
      </c>
      <c r="B576">
        <v>0</v>
      </c>
      <c r="C576">
        <v>199</v>
      </c>
      <c r="D576">
        <v>571</v>
      </c>
      <c r="E576">
        <v>2</v>
      </c>
      <c r="F576">
        <v>197</v>
      </c>
      <c r="G576">
        <v>96</v>
      </c>
      <c r="H576" t="s">
        <v>432</v>
      </c>
    </row>
    <row r="577" spans="1:8">
      <c r="A577" t="s">
        <v>358</v>
      </c>
      <c r="B577">
        <v>0</v>
      </c>
      <c r="C577">
        <v>199</v>
      </c>
      <c r="D577">
        <v>571</v>
      </c>
      <c r="E577">
        <v>3</v>
      </c>
      <c r="F577">
        <v>155</v>
      </c>
      <c r="G577">
        <v>122</v>
      </c>
      <c r="H577" t="s">
        <v>433</v>
      </c>
    </row>
    <row r="578" spans="1:8">
      <c r="A578" t="s">
        <v>358</v>
      </c>
      <c r="B578">
        <v>0</v>
      </c>
      <c r="C578">
        <v>199</v>
      </c>
      <c r="D578">
        <v>571</v>
      </c>
      <c r="E578">
        <v>4</v>
      </c>
      <c r="F578">
        <v>138</v>
      </c>
      <c r="G578">
        <v>92</v>
      </c>
      <c r="H578" t="s">
        <v>434</v>
      </c>
    </row>
    <row r="579" spans="1:8">
      <c r="A579" t="s">
        <v>358</v>
      </c>
      <c r="B579">
        <v>0</v>
      </c>
      <c r="C579">
        <v>219</v>
      </c>
      <c r="D579">
        <v>571</v>
      </c>
      <c r="E579">
        <v>0</v>
      </c>
      <c r="F579">
        <v>33</v>
      </c>
      <c r="G579">
        <v>143</v>
      </c>
      <c r="H579" t="s">
        <v>430</v>
      </c>
    </row>
    <row r="580" spans="1:8">
      <c r="A580" t="s">
        <v>358</v>
      </c>
      <c r="B580">
        <v>0</v>
      </c>
      <c r="C580">
        <v>219</v>
      </c>
      <c r="D580">
        <v>571</v>
      </c>
      <c r="E580">
        <v>1</v>
      </c>
      <c r="F580">
        <v>155</v>
      </c>
      <c r="G580">
        <v>122</v>
      </c>
      <c r="H580" t="s">
        <v>433</v>
      </c>
    </row>
    <row r="581" spans="1:8">
      <c r="A581" t="s">
        <v>358</v>
      </c>
      <c r="B581">
        <v>0</v>
      </c>
      <c r="C581">
        <v>219</v>
      </c>
      <c r="D581">
        <v>571</v>
      </c>
      <c r="E581">
        <v>2</v>
      </c>
      <c r="F581">
        <v>197</v>
      </c>
      <c r="G581">
        <v>96</v>
      </c>
      <c r="H581" t="s">
        <v>432</v>
      </c>
    </row>
    <row r="582" spans="1:8">
      <c r="A582" t="s">
        <v>358</v>
      </c>
      <c r="B582">
        <v>0</v>
      </c>
      <c r="C582">
        <v>219</v>
      </c>
      <c r="D582">
        <v>571</v>
      </c>
      <c r="E582">
        <v>3</v>
      </c>
      <c r="F582">
        <v>130</v>
      </c>
      <c r="G582">
        <v>116</v>
      </c>
      <c r="H582" t="s">
        <v>431</v>
      </c>
    </row>
    <row r="583" spans="1:8">
      <c r="A583" t="s">
        <v>358</v>
      </c>
      <c r="B583">
        <v>0</v>
      </c>
      <c r="C583">
        <v>219</v>
      </c>
      <c r="D583">
        <v>571</v>
      </c>
      <c r="E583">
        <v>4</v>
      </c>
      <c r="F583">
        <v>138</v>
      </c>
      <c r="G583">
        <v>92</v>
      </c>
      <c r="H583" t="s">
        <v>434</v>
      </c>
    </row>
    <row r="584" spans="1:8">
      <c r="A584" t="s">
        <v>358</v>
      </c>
      <c r="B584">
        <v>0</v>
      </c>
      <c r="C584">
        <v>239</v>
      </c>
      <c r="D584">
        <v>571</v>
      </c>
      <c r="E584">
        <v>0</v>
      </c>
      <c r="F584">
        <v>138</v>
      </c>
      <c r="G584">
        <v>92</v>
      </c>
      <c r="H584" t="s">
        <v>434</v>
      </c>
    </row>
    <row r="585" spans="1:8">
      <c r="A585" t="s">
        <v>358</v>
      </c>
      <c r="B585">
        <v>0</v>
      </c>
      <c r="C585">
        <v>239</v>
      </c>
      <c r="D585">
        <v>571</v>
      </c>
      <c r="E585">
        <v>1</v>
      </c>
      <c r="F585">
        <v>33</v>
      </c>
      <c r="G585">
        <v>143</v>
      </c>
      <c r="H585" t="s">
        <v>430</v>
      </c>
    </row>
    <row r="586" spans="1:8">
      <c r="A586" t="s">
        <v>358</v>
      </c>
      <c r="B586">
        <v>0</v>
      </c>
      <c r="C586">
        <v>239</v>
      </c>
      <c r="D586">
        <v>571</v>
      </c>
      <c r="E586">
        <v>2</v>
      </c>
      <c r="F586">
        <v>197</v>
      </c>
      <c r="G586">
        <v>96</v>
      </c>
      <c r="H586" t="s">
        <v>432</v>
      </c>
    </row>
    <row r="587" spans="1:8">
      <c r="A587" t="s">
        <v>358</v>
      </c>
      <c r="B587">
        <v>0</v>
      </c>
      <c r="C587">
        <v>239</v>
      </c>
      <c r="D587">
        <v>571</v>
      </c>
      <c r="E587">
        <v>3</v>
      </c>
      <c r="F587">
        <v>130</v>
      </c>
      <c r="G587">
        <v>116</v>
      </c>
      <c r="H587" t="s">
        <v>431</v>
      </c>
    </row>
    <row r="588" spans="1:8">
      <c r="A588" t="s">
        <v>358</v>
      </c>
      <c r="B588">
        <v>0</v>
      </c>
      <c r="C588">
        <v>239</v>
      </c>
      <c r="D588">
        <v>571</v>
      </c>
      <c r="E588">
        <v>4</v>
      </c>
      <c r="F588">
        <v>155</v>
      </c>
      <c r="G588">
        <v>122</v>
      </c>
      <c r="H588" t="s">
        <v>433</v>
      </c>
    </row>
    <row r="589" spans="1:8">
      <c r="A589" t="s">
        <v>358</v>
      </c>
      <c r="B589">
        <v>0</v>
      </c>
      <c r="C589">
        <v>259</v>
      </c>
      <c r="D589">
        <v>497</v>
      </c>
      <c r="E589">
        <v>0</v>
      </c>
      <c r="F589">
        <v>138</v>
      </c>
      <c r="G589">
        <v>92</v>
      </c>
      <c r="H589" t="s">
        <v>434</v>
      </c>
    </row>
    <row r="590" spans="1:8">
      <c r="A590" t="s">
        <v>358</v>
      </c>
      <c r="B590">
        <v>0</v>
      </c>
      <c r="C590">
        <v>259</v>
      </c>
      <c r="D590">
        <v>497</v>
      </c>
      <c r="E590">
        <v>1</v>
      </c>
      <c r="F590">
        <v>130</v>
      </c>
      <c r="G590">
        <v>116</v>
      </c>
      <c r="H590" t="s">
        <v>431</v>
      </c>
    </row>
    <row r="591" spans="1:8">
      <c r="A591" t="s">
        <v>358</v>
      </c>
      <c r="B591">
        <v>0</v>
      </c>
      <c r="C591">
        <v>259</v>
      </c>
      <c r="D591">
        <v>497</v>
      </c>
      <c r="E591">
        <v>2</v>
      </c>
      <c r="F591">
        <v>244</v>
      </c>
      <c r="G591">
        <v>110</v>
      </c>
      <c r="H591" t="s">
        <v>435</v>
      </c>
    </row>
    <row r="592" spans="1:8">
      <c r="A592" t="s">
        <v>358</v>
      </c>
      <c r="B592">
        <v>0</v>
      </c>
      <c r="C592">
        <v>259</v>
      </c>
      <c r="D592">
        <v>497</v>
      </c>
      <c r="E592">
        <v>3</v>
      </c>
      <c r="F592">
        <v>256</v>
      </c>
      <c r="G592">
        <v>133</v>
      </c>
      <c r="H592" t="s">
        <v>436</v>
      </c>
    </row>
    <row r="593" spans="1:8">
      <c r="A593" t="s">
        <v>358</v>
      </c>
      <c r="B593">
        <v>0</v>
      </c>
      <c r="C593">
        <v>259</v>
      </c>
      <c r="D593">
        <v>497</v>
      </c>
      <c r="E593">
        <v>4</v>
      </c>
      <c r="F593">
        <v>260</v>
      </c>
      <c r="G593">
        <v>45</v>
      </c>
      <c r="H593" t="s">
        <v>437</v>
      </c>
    </row>
    <row r="594" spans="1:8">
      <c r="A594" t="s">
        <v>358</v>
      </c>
      <c r="B594">
        <v>0</v>
      </c>
      <c r="C594">
        <v>279</v>
      </c>
      <c r="D594">
        <v>494</v>
      </c>
      <c r="E594">
        <v>0</v>
      </c>
      <c r="F594">
        <v>269</v>
      </c>
      <c r="G594">
        <v>70</v>
      </c>
      <c r="H594" t="s">
        <v>428</v>
      </c>
    </row>
    <row r="595" spans="1:8">
      <c r="A595" t="s">
        <v>358</v>
      </c>
      <c r="B595">
        <v>0</v>
      </c>
      <c r="C595">
        <v>279</v>
      </c>
      <c r="D595">
        <v>494</v>
      </c>
      <c r="E595">
        <v>1</v>
      </c>
      <c r="F595">
        <v>263</v>
      </c>
      <c r="G595">
        <v>82</v>
      </c>
      <c r="H595" t="s">
        <v>438</v>
      </c>
    </row>
    <row r="596" spans="1:8">
      <c r="A596" t="s">
        <v>358</v>
      </c>
      <c r="B596">
        <v>0</v>
      </c>
      <c r="C596">
        <v>279</v>
      </c>
      <c r="D596">
        <v>494</v>
      </c>
      <c r="E596">
        <v>2</v>
      </c>
      <c r="F596">
        <v>130</v>
      </c>
      <c r="G596">
        <v>116</v>
      </c>
      <c r="H596" t="s">
        <v>431</v>
      </c>
    </row>
    <row r="597" spans="1:8">
      <c r="A597" t="s">
        <v>358</v>
      </c>
      <c r="B597">
        <v>0</v>
      </c>
      <c r="C597">
        <v>279</v>
      </c>
      <c r="D597">
        <v>494</v>
      </c>
      <c r="E597">
        <v>3</v>
      </c>
      <c r="F597">
        <v>256</v>
      </c>
      <c r="G597">
        <v>133</v>
      </c>
      <c r="H597" t="s">
        <v>436</v>
      </c>
    </row>
    <row r="598" spans="1:8">
      <c r="A598" t="s">
        <v>358</v>
      </c>
      <c r="B598">
        <v>0</v>
      </c>
      <c r="C598">
        <v>279</v>
      </c>
      <c r="D598">
        <v>494</v>
      </c>
      <c r="E598">
        <v>4</v>
      </c>
      <c r="F598">
        <v>138</v>
      </c>
      <c r="G598">
        <v>92</v>
      </c>
      <c r="H598" t="s">
        <v>434</v>
      </c>
    </row>
    <row r="599" spans="1:8">
      <c r="A599" t="s">
        <v>358</v>
      </c>
      <c r="B599">
        <v>0</v>
      </c>
      <c r="C599">
        <v>299</v>
      </c>
      <c r="D599">
        <v>494</v>
      </c>
      <c r="E599">
        <v>0</v>
      </c>
      <c r="F599">
        <v>269</v>
      </c>
      <c r="G599">
        <v>70</v>
      </c>
      <c r="H599" t="s">
        <v>428</v>
      </c>
    </row>
    <row r="600" spans="1:8">
      <c r="A600" t="s">
        <v>358</v>
      </c>
      <c r="B600">
        <v>0</v>
      </c>
      <c r="C600">
        <v>299</v>
      </c>
      <c r="D600">
        <v>494</v>
      </c>
      <c r="E600">
        <v>1</v>
      </c>
      <c r="F600">
        <v>263</v>
      </c>
      <c r="G600">
        <v>82</v>
      </c>
      <c r="H600" t="s">
        <v>438</v>
      </c>
    </row>
    <row r="601" spans="1:8">
      <c r="A601" t="s">
        <v>358</v>
      </c>
      <c r="B601">
        <v>0</v>
      </c>
      <c r="C601">
        <v>299</v>
      </c>
      <c r="D601">
        <v>494</v>
      </c>
      <c r="E601">
        <v>2</v>
      </c>
      <c r="F601">
        <v>256</v>
      </c>
      <c r="G601">
        <v>133</v>
      </c>
      <c r="H601" t="s">
        <v>436</v>
      </c>
    </row>
    <row r="602" spans="1:8">
      <c r="A602" t="s">
        <v>358</v>
      </c>
      <c r="B602">
        <v>0</v>
      </c>
      <c r="C602">
        <v>299</v>
      </c>
      <c r="D602">
        <v>494</v>
      </c>
      <c r="E602">
        <v>3</v>
      </c>
      <c r="F602">
        <v>138</v>
      </c>
      <c r="G602">
        <v>92</v>
      </c>
      <c r="H602" t="s">
        <v>434</v>
      </c>
    </row>
    <row r="603" spans="1:8">
      <c r="A603" t="s">
        <v>358</v>
      </c>
      <c r="B603">
        <v>0</v>
      </c>
      <c r="C603">
        <v>299</v>
      </c>
      <c r="D603">
        <v>494</v>
      </c>
      <c r="E603">
        <v>4</v>
      </c>
      <c r="F603">
        <v>130</v>
      </c>
      <c r="G603">
        <v>116</v>
      </c>
      <c r="H603" t="s">
        <v>431</v>
      </c>
    </row>
    <row r="604" spans="1:8">
      <c r="A604" t="s">
        <v>358</v>
      </c>
      <c r="B604">
        <v>0</v>
      </c>
      <c r="C604">
        <v>319</v>
      </c>
      <c r="D604">
        <v>468</v>
      </c>
      <c r="E604">
        <v>0</v>
      </c>
      <c r="F604">
        <v>132</v>
      </c>
      <c r="G604">
        <v>91</v>
      </c>
      <c r="H604" t="s">
        <v>439</v>
      </c>
    </row>
    <row r="605" spans="1:8">
      <c r="A605" t="s">
        <v>358</v>
      </c>
      <c r="B605">
        <v>0</v>
      </c>
      <c r="C605">
        <v>319</v>
      </c>
      <c r="D605">
        <v>468</v>
      </c>
      <c r="E605">
        <v>1</v>
      </c>
      <c r="F605">
        <v>311</v>
      </c>
      <c r="G605">
        <v>129</v>
      </c>
      <c r="H605" t="s">
        <v>440</v>
      </c>
    </row>
    <row r="606" spans="1:8">
      <c r="A606" t="s">
        <v>358</v>
      </c>
      <c r="B606">
        <v>0</v>
      </c>
      <c r="C606">
        <v>319</v>
      </c>
      <c r="D606">
        <v>468</v>
      </c>
      <c r="E606">
        <v>2</v>
      </c>
      <c r="F606">
        <v>304</v>
      </c>
      <c r="G606">
        <v>97</v>
      </c>
      <c r="H606" t="s">
        <v>441</v>
      </c>
    </row>
    <row r="607" spans="1:8">
      <c r="A607" t="s">
        <v>358</v>
      </c>
      <c r="B607">
        <v>0</v>
      </c>
      <c r="C607">
        <v>319</v>
      </c>
      <c r="D607">
        <v>468</v>
      </c>
      <c r="E607">
        <v>3</v>
      </c>
      <c r="F607">
        <v>243</v>
      </c>
      <c r="G607">
        <v>70</v>
      </c>
      <c r="H607" t="s">
        <v>442</v>
      </c>
    </row>
    <row r="608" spans="1:8">
      <c r="A608" t="s">
        <v>358</v>
      </c>
      <c r="B608">
        <v>0</v>
      </c>
      <c r="C608">
        <v>319</v>
      </c>
      <c r="D608">
        <v>468</v>
      </c>
      <c r="E608">
        <v>4</v>
      </c>
      <c r="F608">
        <v>307</v>
      </c>
      <c r="G608">
        <v>79</v>
      </c>
      <c r="H608" t="s">
        <v>423</v>
      </c>
    </row>
    <row r="609" spans="1:8">
      <c r="A609" t="s">
        <v>358</v>
      </c>
      <c r="B609">
        <v>0</v>
      </c>
      <c r="C609">
        <v>199</v>
      </c>
      <c r="D609">
        <v>571</v>
      </c>
      <c r="E609">
        <v>0</v>
      </c>
      <c r="F609">
        <v>33</v>
      </c>
      <c r="G609">
        <v>143</v>
      </c>
      <c r="H609" t="s">
        <v>430</v>
      </c>
    </row>
    <row r="610" spans="1:8">
      <c r="A610" t="s">
        <v>358</v>
      </c>
      <c r="B610">
        <v>0</v>
      </c>
      <c r="C610">
        <v>199</v>
      </c>
      <c r="D610">
        <v>571</v>
      </c>
      <c r="E610">
        <v>1</v>
      </c>
      <c r="F610">
        <v>130</v>
      </c>
      <c r="G610">
        <v>116</v>
      </c>
      <c r="H610" t="s">
        <v>431</v>
      </c>
    </row>
    <row r="611" spans="1:8">
      <c r="A611" t="s">
        <v>358</v>
      </c>
      <c r="B611">
        <v>0</v>
      </c>
      <c r="C611">
        <v>199</v>
      </c>
      <c r="D611">
        <v>571</v>
      </c>
      <c r="E611">
        <v>2</v>
      </c>
      <c r="F611">
        <v>197</v>
      </c>
      <c r="G611">
        <v>96</v>
      </c>
      <c r="H611" t="s">
        <v>432</v>
      </c>
    </row>
    <row r="612" spans="1:8">
      <c r="A612" t="s">
        <v>358</v>
      </c>
      <c r="B612">
        <v>0</v>
      </c>
      <c r="C612">
        <v>199</v>
      </c>
      <c r="D612">
        <v>571</v>
      </c>
      <c r="E612">
        <v>3</v>
      </c>
      <c r="F612">
        <v>155</v>
      </c>
      <c r="G612">
        <v>122</v>
      </c>
      <c r="H612" t="s">
        <v>433</v>
      </c>
    </row>
    <row r="613" spans="1:8">
      <c r="A613" t="s">
        <v>358</v>
      </c>
      <c r="B613">
        <v>0</v>
      </c>
      <c r="C613">
        <v>199</v>
      </c>
      <c r="D613">
        <v>571</v>
      </c>
      <c r="E613">
        <v>4</v>
      </c>
      <c r="F613">
        <v>138</v>
      </c>
      <c r="G613">
        <v>92</v>
      </c>
      <c r="H613" t="s">
        <v>434</v>
      </c>
    </row>
    <row r="614" spans="1:8">
      <c r="A614" t="s">
        <v>358</v>
      </c>
      <c r="B614">
        <v>0</v>
      </c>
      <c r="C614">
        <v>219</v>
      </c>
      <c r="D614">
        <v>571</v>
      </c>
      <c r="E614">
        <v>0</v>
      </c>
      <c r="F614">
        <v>33</v>
      </c>
      <c r="G614">
        <v>143</v>
      </c>
      <c r="H614" t="s">
        <v>430</v>
      </c>
    </row>
    <row r="615" spans="1:8">
      <c r="A615" t="s">
        <v>358</v>
      </c>
      <c r="B615">
        <v>0</v>
      </c>
      <c r="C615">
        <v>219</v>
      </c>
      <c r="D615">
        <v>571</v>
      </c>
      <c r="E615">
        <v>1</v>
      </c>
      <c r="F615">
        <v>155</v>
      </c>
      <c r="G615">
        <v>122</v>
      </c>
      <c r="H615" t="s">
        <v>433</v>
      </c>
    </row>
    <row r="616" spans="1:8">
      <c r="A616" t="s">
        <v>358</v>
      </c>
      <c r="B616">
        <v>0</v>
      </c>
      <c r="C616">
        <v>219</v>
      </c>
      <c r="D616">
        <v>571</v>
      </c>
      <c r="E616">
        <v>2</v>
      </c>
      <c r="F616">
        <v>197</v>
      </c>
      <c r="G616">
        <v>96</v>
      </c>
      <c r="H616" t="s">
        <v>432</v>
      </c>
    </row>
    <row r="617" spans="1:8">
      <c r="A617" t="s">
        <v>358</v>
      </c>
      <c r="B617">
        <v>0</v>
      </c>
      <c r="C617">
        <v>219</v>
      </c>
      <c r="D617">
        <v>571</v>
      </c>
      <c r="E617">
        <v>3</v>
      </c>
      <c r="F617">
        <v>130</v>
      </c>
      <c r="G617">
        <v>116</v>
      </c>
      <c r="H617" t="s">
        <v>431</v>
      </c>
    </row>
    <row r="618" spans="1:8">
      <c r="A618" t="s">
        <v>358</v>
      </c>
      <c r="B618">
        <v>0</v>
      </c>
      <c r="C618">
        <v>219</v>
      </c>
      <c r="D618">
        <v>571</v>
      </c>
      <c r="E618">
        <v>4</v>
      </c>
      <c r="F618">
        <v>138</v>
      </c>
      <c r="G618">
        <v>92</v>
      </c>
      <c r="H618" t="s">
        <v>434</v>
      </c>
    </row>
    <row r="619" spans="1:8">
      <c r="A619" t="s">
        <v>358</v>
      </c>
      <c r="B619">
        <v>0</v>
      </c>
      <c r="C619">
        <v>239</v>
      </c>
      <c r="D619">
        <v>571</v>
      </c>
      <c r="E619">
        <v>0</v>
      </c>
      <c r="F619">
        <v>138</v>
      </c>
      <c r="G619">
        <v>92</v>
      </c>
      <c r="H619" t="s">
        <v>434</v>
      </c>
    </row>
    <row r="620" spans="1:8">
      <c r="A620" t="s">
        <v>358</v>
      </c>
      <c r="B620">
        <v>0</v>
      </c>
      <c r="C620">
        <v>239</v>
      </c>
      <c r="D620">
        <v>571</v>
      </c>
      <c r="E620">
        <v>1</v>
      </c>
      <c r="F620">
        <v>33</v>
      </c>
      <c r="G620">
        <v>143</v>
      </c>
      <c r="H620" t="s">
        <v>430</v>
      </c>
    </row>
    <row r="621" spans="1:8">
      <c r="A621" t="s">
        <v>358</v>
      </c>
      <c r="B621">
        <v>0</v>
      </c>
      <c r="C621">
        <v>239</v>
      </c>
      <c r="D621">
        <v>571</v>
      </c>
      <c r="E621">
        <v>2</v>
      </c>
      <c r="F621">
        <v>197</v>
      </c>
      <c r="G621">
        <v>96</v>
      </c>
      <c r="H621" t="s">
        <v>432</v>
      </c>
    </row>
    <row r="622" spans="1:8">
      <c r="A622" t="s">
        <v>358</v>
      </c>
      <c r="B622">
        <v>0</v>
      </c>
      <c r="C622">
        <v>239</v>
      </c>
      <c r="D622">
        <v>571</v>
      </c>
      <c r="E622">
        <v>3</v>
      </c>
      <c r="F622">
        <v>130</v>
      </c>
      <c r="G622">
        <v>116</v>
      </c>
      <c r="H622" t="s">
        <v>431</v>
      </c>
    </row>
    <row r="623" spans="1:8">
      <c r="A623" t="s">
        <v>358</v>
      </c>
      <c r="B623">
        <v>0</v>
      </c>
      <c r="C623">
        <v>239</v>
      </c>
      <c r="D623">
        <v>571</v>
      </c>
      <c r="E623">
        <v>4</v>
      </c>
      <c r="F623">
        <v>155</v>
      </c>
      <c r="G623">
        <v>122</v>
      </c>
      <c r="H623" t="s">
        <v>433</v>
      </c>
    </row>
    <row r="624" spans="1:8">
      <c r="A624" t="s">
        <v>358</v>
      </c>
      <c r="B624">
        <v>0</v>
      </c>
      <c r="C624">
        <v>259</v>
      </c>
      <c r="D624">
        <v>497</v>
      </c>
      <c r="E624">
        <v>0</v>
      </c>
      <c r="F624">
        <v>138</v>
      </c>
      <c r="G624">
        <v>92</v>
      </c>
      <c r="H624" t="s">
        <v>434</v>
      </c>
    </row>
    <row r="625" spans="1:8">
      <c r="A625" t="s">
        <v>358</v>
      </c>
      <c r="B625">
        <v>0</v>
      </c>
      <c r="C625">
        <v>259</v>
      </c>
      <c r="D625">
        <v>497</v>
      </c>
      <c r="E625">
        <v>1</v>
      </c>
      <c r="F625">
        <v>130</v>
      </c>
      <c r="G625">
        <v>116</v>
      </c>
      <c r="H625" t="s">
        <v>431</v>
      </c>
    </row>
    <row r="626" spans="1:8">
      <c r="A626" t="s">
        <v>358</v>
      </c>
      <c r="B626">
        <v>0</v>
      </c>
      <c r="C626">
        <v>259</v>
      </c>
      <c r="D626">
        <v>497</v>
      </c>
      <c r="E626">
        <v>2</v>
      </c>
      <c r="F626">
        <v>244</v>
      </c>
      <c r="G626">
        <v>110</v>
      </c>
      <c r="H626" t="s">
        <v>435</v>
      </c>
    </row>
    <row r="627" spans="1:8">
      <c r="A627" t="s">
        <v>358</v>
      </c>
      <c r="B627">
        <v>0</v>
      </c>
      <c r="C627">
        <v>259</v>
      </c>
      <c r="D627">
        <v>497</v>
      </c>
      <c r="E627">
        <v>3</v>
      </c>
      <c r="F627">
        <v>256</v>
      </c>
      <c r="G627">
        <v>133</v>
      </c>
      <c r="H627" t="s">
        <v>436</v>
      </c>
    </row>
    <row r="628" spans="1:8">
      <c r="A628" t="s">
        <v>358</v>
      </c>
      <c r="B628">
        <v>0</v>
      </c>
      <c r="C628">
        <v>259</v>
      </c>
      <c r="D628">
        <v>497</v>
      </c>
      <c r="E628">
        <v>4</v>
      </c>
      <c r="F628">
        <v>260</v>
      </c>
      <c r="G628">
        <v>45</v>
      </c>
      <c r="H628" t="s">
        <v>437</v>
      </c>
    </row>
    <row r="629" spans="1:8">
      <c r="A629" t="s">
        <v>358</v>
      </c>
      <c r="B629">
        <v>0</v>
      </c>
      <c r="C629">
        <v>279</v>
      </c>
      <c r="D629">
        <v>494</v>
      </c>
      <c r="E629">
        <v>0</v>
      </c>
      <c r="F629">
        <v>269</v>
      </c>
      <c r="G629">
        <v>70</v>
      </c>
      <c r="H629" t="s">
        <v>428</v>
      </c>
    </row>
    <row r="630" spans="1:8">
      <c r="A630" t="s">
        <v>358</v>
      </c>
      <c r="B630">
        <v>0</v>
      </c>
      <c r="C630">
        <v>279</v>
      </c>
      <c r="D630">
        <v>494</v>
      </c>
      <c r="E630">
        <v>1</v>
      </c>
      <c r="F630">
        <v>263</v>
      </c>
      <c r="G630">
        <v>82</v>
      </c>
      <c r="H630" t="s">
        <v>438</v>
      </c>
    </row>
    <row r="631" spans="1:8">
      <c r="A631" t="s">
        <v>358</v>
      </c>
      <c r="B631">
        <v>0</v>
      </c>
      <c r="C631">
        <v>279</v>
      </c>
      <c r="D631">
        <v>494</v>
      </c>
      <c r="E631">
        <v>2</v>
      </c>
      <c r="F631">
        <v>130</v>
      </c>
      <c r="G631">
        <v>116</v>
      </c>
      <c r="H631" t="s">
        <v>431</v>
      </c>
    </row>
    <row r="632" spans="1:8">
      <c r="A632" t="s">
        <v>358</v>
      </c>
      <c r="B632">
        <v>0</v>
      </c>
      <c r="C632">
        <v>279</v>
      </c>
      <c r="D632">
        <v>494</v>
      </c>
      <c r="E632">
        <v>3</v>
      </c>
      <c r="F632">
        <v>256</v>
      </c>
      <c r="G632">
        <v>133</v>
      </c>
      <c r="H632" t="s">
        <v>436</v>
      </c>
    </row>
    <row r="633" spans="1:8">
      <c r="A633" t="s">
        <v>358</v>
      </c>
      <c r="B633">
        <v>0</v>
      </c>
      <c r="C633">
        <v>279</v>
      </c>
      <c r="D633">
        <v>494</v>
      </c>
      <c r="E633">
        <v>4</v>
      </c>
      <c r="F633">
        <v>138</v>
      </c>
      <c r="G633">
        <v>92</v>
      </c>
      <c r="H633" t="s">
        <v>434</v>
      </c>
    </row>
    <row r="634" spans="1:8">
      <c r="A634" t="s">
        <v>358</v>
      </c>
      <c r="B634">
        <v>0</v>
      </c>
      <c r="C634">
        <v>299</v>
      </c>
      <c r="D634">
        <v>494</v>
      </c>
      <c r="E634">
        <v>0</v>
      </c>
      <c r="F634">
        <v>269</v>
      </c>
      <c r="G634">
        <v>70</v>
      </c>
      <c r="H634" t="s">
        <v>428</v>
      </c>
    </row>
    <row r="635" spans="1:8">
      <c r="A635" t="s">
        <v>358</v>
      </c>
      <c r="B635">
        <v>0</v>
      </c>
      <c r="C635">
        <v>299</v>
      </c>
      <c r="D635">
        <v>494</v>
      </c>
      <c r="E635">
        <v>1</v>
      </c>
      <c r="F635">
        <v>263</v>
      </c>
      <c r="G635">
        <v>82</v>
      </c>
      <c r="H635" t="s">
        <v>438</v>
      </c>
    </row>
    <row r="636" spans="1:8">
      <c r="A636" t="s">
        <v>358</v>
      </c>
      <c r="B636">
        <v>0</v>
      </c>
      <c r="C636">
        <v>299</v>
      </c>
      <c r="D636">
        <v>494</v>
      </c>
      <c r="E636">
        <v>2</v>
      </c>
      <c r="F636">
        <v>256</v>
      </c>
      <c r="G636">
        <v>133</v>
      </c>
      <c r="H636" t="s">
        <v>436</v>
      </c>
    </row>
    <row r="637" spans="1:8">
      <c r="A637" t="s">
        <v>358</v>
      </c>
      <c r="B637">
        <v>0</v>
      </c>
      <c r="C637">
        <v>299</v>
      </c>
      <c r="D637">
        <v>494</v>
      </c>
      <c r="E637">
        <v>3</v>
      </c>
      <c r="F637">
        <v>138</v>
      </c>
      <c r="G637">
        <v>92</v>
      </c>
      <c r="H637" t="s">
        <v>434</v>
      </c>
    </row>
    <row r="638" spans="1:8">
      <c r="A638" t="s">
        <v>358</v>
      </c>
      <c r="B638">
        <v>0</v>
      </c>
      <c r="C638">
        <v>299</v>
      </c>
      <c r="D638">
        <v>494</v>
      </c>
      <c r="E638">
        <v>4</v>
      </c>
      <c r="F638">
        <v>130</v>
      </c>
      <c r="G638">
        <v>116</v>
      </c>
      <c r="H638" t="s">
        <v>431</v>
      </c>
    </row>
    <row r="639" spans="1:8">
      <c r="A639" t="s">
        <v>358</v>
      </c>
      <c r="B639">
        <v>0</v>
      </c>
      <c r="C639">
        <v>319</v>
      </c>
      <c r="D639">
        <v>468</v>
      </c>
      <c r="E639">
        <v>0</v>
      </c>
      <c r="F639">
        <v>132</v>
      </c>
      <c r="G639">
        <v>91</v>
      </c>
      <c r="H639" t="s">
        <v>439</v>
      </c>
    </row>
    <row r="640" spans="1:8">
      <c r="A640" t="s">
        <v>358</v>
      </c>
      <c r="B640">
        <v>0</v>
      </c>
      <c r="C640">
        <v>319</v>
      </c>
      <c r="D640">
        <v>468</v>
      </c>
      <c r="E640">
        <v>1</v>
      </c>
      <c r="F640">
        <v>311</v>
      </c>
      <c r="G640">
        <v>129</v>
      </c>
      <c r="H640" t="s">
        <v>440</v>
      </c>
    </row>
    <row r="641" spans="1:8">
      <c r="A641" t="s">
        <v>358</v>
      </c>
      <c r="B641">
        <v>0</v>
      </c>
      <c r="C641">
        <v>319</v>
      </c>
      <c r="D641">
        <v>468</v>
      </c>
      <c r="E641">
        <v>2</v>
      </c>
      <c r="F641">
        <v>304</v>
      </c>
      <c r="G641">
        <v>97</v>
      </c>
      <c r="H641" t="s">
        <v>441</v>
      </c>
    </row>
    <row r="642" spans="1:8">
      <c r="A642" t="s">
        <v>358</v>
      </c>
      <c r="B642">
        <v>0</v>
      </c>
      <c r="C642">
        <v>319</v>
      </c>
      <c r="D642">
        <v>468</v>
      </c>
      <c r="E642">
        <v>3</v>
      </c>
      <c r="F642">
        <v>243</v>
      </c>
      <c r="G642">
        <v>70</v>
      </c>
      <c r="H642" t="s">
        <v>442</v>
      </c>
    </row>
    <row r="643" spans="1:8">
      <c r="A643" t="s">
        <v>358</v>
      </c>
      <c r="B643">
        <v>0</v>
      </c>
      <c r="C643">
        <v>319</v>
      </c>
      <c r="D643">
        <v>468</v>
      </c>
      <c r="E643">
        <v>4</v>
      </c>
      <c r="F643">
        <v>307</v>
      </c>
      <c r="G643">
        <v>79</v>
      </c>
      <c r="H643" t="s">
        <v>423</v>
      </c>
    </row>
    <row r="644" spans="1:8">
      <c r="A644" t="s">
        <v>443</v>
      </c>
      <c r="B644">
        <v>1</v>
      </c>
      <c r="C644">
        <v>19</v>
      </c>
      <c r="D644">
        <v>547100000</v>
      </c>
      <c r="E644">
        <v>0</v>
      </c>
      <c r="F644">
        <v>193</v>
      </c>
      <c r="G644">
        <v>97600000</v>
      </c>
      <c r="H644" t="s">
        <v>444</v>
      </c>
    </row>
    <row r="645" spans="1:8">
      <c r="A645" t="s">
        <v>443</v>
      </c>
      <c r="B645">
        <v>1</v>
      </c>
      <c r="C645">
        <v>19</v>
      </c>
      <c r="D645">
        <v>547100000</v>
      </c>
      <c r="E645">
        <v>1</v>
      </c>
      <c r="F645">
        <v>181</v>
      </c>
      <c r="G645">
        <v>80000000</v>
      </c>
      <c r="H645" t="s">
        <v>394</v>
      </c>
    </row>
    <row r="646" spans="1:8">
      <c r="A646" t="s">
        <v>443</v>
      </c>
      <c r="B646">
        <v>1</v>
      </c>
      <c r="C646">
        <v>19</v>
      </c>
      <c r="D646">
        <v>547100000</v>
      </c>
      <c r="E646">
        <v>2</v>
      </c>
      <c r="F646">
        <v>141</v>
      </c>
      <c r="G646">
        <v>70700000</v>
      </c>
      <c r="H646" t="s">
        <v>445</v>
      </c>
    </row>
    <row r="647" spans="1:8">
      <c r="A647" t="s">
        <v>443</v>
      </c>
      <c r="B647">
        <v>1</v>
      </c>
      <c r="C647">
        <v>19</v>
      </c>
      <c r="D647">
        <v>547100000</v>
      </c>
      <c r="E647">
        <v>3</v>
      </c>
      <c r="F647">
        <v>197</v>
      </c>
      <c r="G647">
        <v>83600000</v>
      </c>
      <c r="H647" t="s">
        <v>446</v>
      </c>
    </row>
    <row r="648" spans="1:8">
      <c r="A648" t="s">
        <v>443</v>
      </c>
      <c r="B648">
        <v>1</v>
      </c>
      <c r="C648">
        <v>19</v>
      </c>
      <c r="D648">
        <v>547100000</v>
      </c>
      <c r="E648">
        <v>4</v>
      </c>
      <c r="F648">
        <v>191</v>
      </c>
      <c r="G648">
        <v>104400000</v>
      </c>
      <c r="H648" t="s">
        <v>420</v>
      </c>
    </row>
    <row r="649" spans="1:8">
      <c r="A649" t="s">
        <v>443</v>
      </c>
      <c r="B649">
        <v>1</v>
      </c>
      <c r="C649">
        <v>19</v>
      </c>
      <c r="D649">
        <v>547100000</v>
      </c>
      <c r="E649">
        <v>5</v>
      </c>
      <c r="F649">
        <v>99</v>
      </c>
      <c r="G649">
        <v>31600000</v>
      </c>
      <c r="H649" t="s">
        <v>371</v>
      </c>
    </row>
    <row r="650" spans="1:8">
      <c r="A650" t="s">
        <v>443</v>
      </c>
      <c r="B650">
        <v>1</v>
      </c>
      <c r="C650">
        <v>19</v>
      </c>
      <c r="D650">
        <v>547100000</v>
      </c>
      <c r="E650">
        <v>6</v>
      </c>
      <c r="F650">
        <v>185</v>
      </c>
      <c r="G650">
        <v>79200000</v>
      </c>
      <c r="H650" t="s">
        <v>423</v>
      </c>
    </row>
    <row r="651" spans="1:8">
      <c r="A651" t="s">
        <v>443</v>
      </c>
      <c r="B651">
        <v>1</v>
      </c>
      <c r="C651">
        <v>19</v>
      </c>
      <c r="D651">
        <v>547100000</v>
      </c>
      <c r="E651">
        <v>0</v>
      </c>
      <c r="F651">
        <v>193</v>
      </c>
      <c r="G651">
        <v>97600000</v>
      </c>
      <c r="H651" t="s">
        <v>444</v>
      </c>
    </row>
    <row r="652" spans="1:8">
      <c r="A652" t="s">
        <v>443</v>
      </c>
      <c r="B652">
        <v>1</v>
      </c>
      <c r="C652">
        <v>19</v>
      </c>
      <c r="D652">
        <v>547100000</v>
      </c>
      <c r="E652">
        <v>1</v>
      </c>
      <c r="F652">
        <v>191</v>
      </c>
      <c r="G652">
        <v>104400000</v>
      </c>
      <c r="H652" t="s">
        <v>420</v>
      </c>
    </row>
    <row r="653" spans="1:8">
      <c r="A653" t="s">
        <v>443</v>
      </c>
      <c r="B653">
        <v>1</v>
      </c>
      <c r="C653">
        <v>19</v>
      </c>
      <c r="D653">
        <v>547100000</v>
      </c>
      <c r="E653">
        <v>2</v>
      </c>
      <c r="F653">
        <v>197</v>
      </c>
      <c r="G653">
        <v>83600000</v>
      </c>
      <c r="H653" t="s">
        <v>446</v>
      </c>
    </row>
    <row r="654" spans="1:8">
      <c r="A654" t="s">
        <v>443</v>
      </c>
      <c r="B654">
        <v>1</v>
      </c>
      <c r="C654">
        <v>19</v>
      </c>
      <c r="D654">
        <v>547100000</v>
      </c>
      <c r="E654">
        <v>3</v>
      </c>
      <c r="F654">
        <v>185</v>
      </c>
      <c r="G654">
        <v>79200000</v>
      </c>
      <c r="H654" t="s">
        <v>423</v>
      </c>
    </row>
    <row r="655" spans="1:8">
      <c r="A655" t="s">
        <v>443</v>
      </c>
      <c r="B655">
        <v>1</v>
      </c>
      <c r="C655">
        <v>19</v>
      </c>
      <c r="D655">
        <v>547100000</v>
      </c>
      <c r="E655">
        <v>4</v>
      </c>
      <c r="F655">
        <v>99</v>
      </c>
      <c r="G655">
        <v>31600000</v>
      </c>
      <c r="H655" t="s">
        <v>371</v>
      </c>
    </row>
    <row r="656" spans="1:8">
      <c r="A656" t="s">
        <v>443</v>
      </c>
      <c r="B656">
        <v>1</v>
      </c>
      <c r="C656">
        <v>19</v>
      </c>
      <c r="D656">
        <v>547100000</v>
      </c>
      <c r="E656">
        <v>5</v>
      </c>
      <c r="F656">
        <v>181</v>
      </c>
      <c r="G656">
        <v>80000000</v>
      </c>
      <c r="H656" t="s">
        <v>394</v>
      </c>
    </row>
    <row r="657" spans="1:8">
      <c r="A657" t="s">
        <v>443</v>
      </c>
      <c r="B657">
        <v>1</v>
      </c>
      <c r="C657">
        <v>19</v>
      </c>
      <c r="D657">
        <v>547100000</v>
      </c>
      <c r="E657">
        <v>6</v>
      </c>
      <c r="F657">
        <v>141</v>
      </c>
      <c r="G657">
        <v>70700000</v>
      </c>
      <c r="H657" t="s">
        <v>445</v>
      </c>
    </row>
  </sheetData>
  <autoFilter ref="A1:H1" xr:uid="{C3C161CD-62B3-422D-8376-4D4A1EC590F0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5C53-E771-44C0-A193-8A3BFDA429DB}">
  <sheetPr codeName="Planilha4"/>
  <dimension ref="A1:AX117"/>
  <sheetViews>
    <sheetView topLeftCell="P1" zoomScale="70" zoomScaleNormal="70" workbookViewId="0">
      <pane ySplit="1" topLeftCell="A2" activePane="bottomLeft" state="frozen"/>
      <selection pane="bottomLeft" activeCell="AC9" sqref="AC9"/>
    </sheetView>
  </sheetViews>
  <sheetFormatPr defaultRowHeight="14.4"/>
  <cols>
    <col min="1" max="1" width="33.21875" customWidth="1"/>
    <col min="2" max="2" width="17.88671875" bestFit="1" customWidth="1"/>
    <col min="3" max="10" width="9" bestFit="1" customWidth="1"/>
    <col min="12" max="12" width="9" bestFit="1" customWidth="1"/>
    <col min="13" max="13" width="20.33203125" customWidth="1"/>
    <col min="14" max="15" width="9" bestFit="1" customWidth="1"/>
    <col min="16" max="16" width="9" style="76" bestFit="1" customWidth="1"/>
    <col min="17" max="19" width="9" bestFit="1" customWidth="1"/>
    <col min="22" max="22" width="19.21875" bestFit="1" customWidth="1"/>
    <col min="23" max="23" width="22.5546875" customWidth="1"/>
    <col min="24" max="25" width="9" bestFit="1" customWidth="1"/>
    <col min="27" max="27" width="9" bestFit="1" customWidth="1"/>
    <col min="29" max="29" width="9" bestFit="1" customWidth="1"/>
  </cols>
  <sheetData>
    <row r="1" spans="1:30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s="76" t="s">
        <v>46</v>
      </c>
      <c r="Q1" t="s">
        <v>47</v>
      </c>
      <c r="R1" t="s">
        <v>48</v>
      </c>
      <c r="S1" t="s">
        <v>49</v>
      </c>
      <c r="T1" t="s">
        <v>50</v>
      </c>
      <c r="U1" t="s">
        <v>51</v>
      </c>
      <c r="V1" t="s">
        <v>52</v>
      </c>
    </row>
    <row r="2" spans="1:30">
      <c r="A2" t="s">
        <v>266</v>
      </c>
      <c r="B2" t="s">
        <v>60</v>
      </c>
      <c r="C2">
        <v>0</v>
      </c>
      <c r="D2">
        <v>0</v>
      </c>
      <c r="E2">
        <v>0</v>
      </c>
      <c r="F2">
        <v>25</v>
      </c>
      <c r="G2">
        <v>27</v>
      </c>
      <c r="H2">
        <v>8</v>
      </c>
      <c r="I2">
        <v>200</v>
      </c>
      <c r="J2">
        <v>0</v>
      </c>
      <c r="K2" t="s">
        <v>1</v>
      </c>
      <c r="L2">
        <v>0.76419999999999999</v>
      </c>
      <c r="M2">
        <v>67.948899999999995</v>
      </c>
      <c r="N2">
        <v>618.32989999999995</v>
      </c>
      <c r="O2">
        <v>618.32989999999995</v>
      </c>
      <c r="P2" s="76">
        <f>(O2-N2)/O2</f>
        <v>0</v>
      </c>
      <c r="Q2">
        <v>1</v>
      </c>
      <c r="R2">
        <v>1</v>
      </c>
      <c r="S2">
        <v>872</v>
      </c>
      <c r="T2" t="s">
        <v>2</v>
      </c>
      <c r="U2" t="s">
        <v>267</v>
      </c>
      <c r="V2" s="2">
        <v>46108.865972222222</v>
      </c>
      <c r="X2" t="s">
        <v>268</v>
      </c>
      <c r="Y2" t="s">
        <v>53</v>
      </c>
    </row>
    <row r="3" spans="1:30">
      <c r="A3" t="s">
        <v>269</v>
      </c>
      <c r="B3" t="s">
        <v>60</v>
      </c>
      <c r="C3">
        <v>0</v>
      </c>
      <c r="D3">
        <v>0</v>
      </c>
      <c r="E3">
        <v>1</v>
      </c>
      <c r="F3">
        <v>25</v>
      </c>
      <c r="G3">
        <v>27</v>
      </c>
      <c r="H3">
        <v>8</v>
      </c>
      <c r="I3">
        <v>200</v>
      </c>
      <c r="J3">
        <v>0</v>
      </c>
      <c r="K3" t="s">
        <v>1</v>
      </c>
      <c r="L3">
        <v>0.76419999999999999</v>
      </c>
      <c r="M3">
        <v>20.212499999999999</v>
      </c>
      <c r="N3">
        <v>618.32989999999995</v>
      </c>
      <c r="O3">
        <v>618.32989999999995</v>
      </c>
      <c r="P3" s="76">
        <f t="shared" ref="P3:P66" si="0">(O3-N3)/O3</f>
        <v>0</v>
      </c>
      <c r="Q3">
        <v>1</v>
      </c>
      <c r="R3">
        <v>1</v>
      </c>
      <c r="S3">
        <v>992</v>
      </c>
      <c r="T3" t="s">
        <v>2</v>
      </c>
      <c r="U3" t="s">
        <v>270</v>
      </c>
      <c r="V3" s="2">
        <v>46108.865972222222</v>
      </c>
      <c r="X3" t="s">
        <v>54</v>
      </c>
      <c r="Y3" t="s">
        <v>55</v>
      </c>
      <c r="Z3" t="s">
        <v>56</v>
      </c>
      <c r="AA3" t="s">
        <v>57</v>
      </c>
      <c r="AB3" t="s">
        <v>56</v>
      </c>
      <c r="AC3" t="s">
        <v>58</v>
      </c>
      <c r="AD3" s="75"/>
    </row>
    <row r="4" spans="1:30">
      <c r="A4" t="s">
        <v>271</v>
      </c>
      <c r="B4" t="s">
        <v>60</v>
      </c>
      <c r="C4">
        <v>0</v>
      </c>
      <c r="D4">
        <v>0</v>
      </c>
      <c r="E4">
        <v>2</v>
      </c>
      <c r="F4">
        <v>25</v>
      </c>
      <c r="G4">
        <v>27</v>
      </c>
      <c r="H4">
        <v>8</v>
      </c>
      <c r="I4">
        <v>200</v>
      </c>
      <c r="J4">
        <v>0</v>
      </c>
      <c r="K4" t="s">
        <v>1</v>
      </c>
      <c r="L4">
        <v>0.76419999999999999</v>
      </c>
      <c r="M4">
        <v>23.310600000000001</v>
      </c>
      <c r="N4">
        <v>618.32989999999995</v>
      </c>
      <c r="O4">
        <v>618.32989999999995</v>
      </c>
      <c r="P4" s="76">
        <f t="shared" si="0"/>
        <v>0</v>
      </c>
      <c r="Q4">
        <v>1</v>
      </c>
      <c r="R4">
        <v>1</v>
      </c>
      <c r="S4">
        <v>1208</v>
      </c>
      <c r="T4" t="s">
        <v>2</v>
      </c>
      <c r="U4" t="s">
        <v>272</v>
      </c>
      <c r="V4" s="2">
        <v>46108.865972222222</v>
      </c>
      <c r="X4">
        <v>0</v>
      </c>
      <c r="Y4" s="75">
        <f>_xlfn.MAXIFS($P:$P,$E:$E,X4)</f>
        <v>8.8832764181369719E-2</v>
      </c>
      <c r="Z4" t="s">
        <v>59</v>
      </c>
      <c r="AA4">
        <f>_xlfn.MINIFS($P:$P,$E:$E,X4)</f>
        <v>0</v>
      </c>
      <c r="AB4" t="s">
        <v>60</v>
      </c>
      <c r="AC4" s="75">
        <f>AVERAGEIFS($P:$P,$E:$E,X4)</f>
        <v>1.8098658289843247E-2</v>
      </c>
      <c r="AD4" s="75"/>
    </row>
    <row r="5" spans="1:30">
      <c r="A5" t="s">
        <v>273</v>
      </c>
      <c r="B5" t="s">
        <v>60</v>
      </c>
      <c r="C5">
        <v>0</v>
      </c>
      <c r="D5">
        <v>0</v>
      </c>
      <c r="E5">
        <v>3</v>
      </c>
      <c r="F5">
        <v>25</v>
      </c>
      <c r="G5">
        <v>27</v>
      </c>
      <c r="H5">
        <v>8</v>
      </c>
      <c r="I5">
        <v>200</v>
      </c>
      <c r="J5">
        <v>0</v>
      </c>
      <c r="K5" t="s">
        <v>1</v>
      </c>
      <c r="L5">
        <v>0.76419999999999999</v>
      </c>
      <c r="M5">
        <v>2.2683</v>
      </c>
      <c r="N5">
        <v>618.32989999999995</v>
      </c>
      <c r="O5">
        <v>630.38040000000001</v>
      </c>
      <c r="P5" s="76">
        <f t="shared" si="0"/>
        <v>1.9116235212896938E-2</v>
      </c>
      <c r="Q5">
        <v>0</v>
      </c>
      <c r="R5">
        <v>1</v>
      </c>
      <c r="S5">
        <v>952</v>
      </c>
      <c r="T5" t="s">
        <v>2</v>
      </c>
      <c r="U5" t="s">
        <v>274</v>
      </c>
      <c r="V5" s="2">
        <v>46108.865972222222</v>
      </c>
      <c r="W5" t="s">
        <v>61</v>
      </c>
      <c r="X5">
        <v>1</v>
      </c>
      <c r="Y5" s="75">
        <f t="shared" ref="Y5:Y10" si="1">_xlfn.MAXIFS($P:$P,$E:$E,X5)</f>
        <v>0.15056296525564783</v>
      </c>
      <c r="Z5" t="s">
        <v>59</v>
      </c>
      <c r="AA5">
        <f t="shared" ref="AA5:AA10" si="2">_xlfn.MINIFS($P:$P,$E:$E,X5)</f>
        <v>0</v>
      </c>
      <c r="AB5" t="s">
        <v>60</v>
      </c>
      <c r="AC5" s="75">
        <f t="shared" ref="AC5:AC10" si="3">AVERAGEIFS($P:$P,$E:$E,X5)</f>
        <v>1.8266750775630725E-2</v>
      </c>
      <c r="AD5" s="75"/>
    </row>
    <row r="6" spans="1:30">
      <c r="A6" t="s">
        <v>275</v>
      </c>
      <c r="B6" t="s">
        <v>60</v>
      </c>
      <c r="C6">
        <v>0</v>
      </c>
      <c r="D6">
        <v>0</v>
      </c>
      <c r="E6">
        <v>22</v>
      </c>
      <c r="F6">
        <v>25</v>
      </c>
      <c r="G6">
        <v>27</v>
      </c>
      <c r="H6">
        <v>8</v>
      </c>
      <c r="I6">
        <v>200</v>
      </c>
      <c r="J6">
        <v>0</v>
      </c>
      <c r="K6" t="s">
        <v>1</v>
      </c>
      <c r="L6">
        <v>0.76419999999999999</v>
      </c>
      <c r="M6">
        <v>99.904700000000005</v>
      </c>
      <c r="N6">
        <v>618.32989999999995</v>
      </c>
      <c r="O6">
        <v>618.32989999999995</v>
      </c>
      <c r="P6" s="76">
        <f t="shared" si="0"/>
        <v>0</v>
      </c>
      <c r="Q6">
        <v>1</v>
      </c>
      <c r="R6">
        <v>1</v>
      </c>
      <c r="S6">
        <v>480</v>
      </c>
      <c r="T6" t="s">
        <v>2</v>
      </c>
      <c r="U6" t="s">
        <v>276</v>
      </c>
      <c r="V6" s="2">
        <v>46108.867361111108</v>
      </c>
      <c r="W6" t="s">
        <v>62</v>
      </c>
      <c r="X6">
        <v>2</v>
      </c>
      <c r="Y6" s="75">
        <f t="shared" si="1"/>
        <v>4.7165122211912852E-2</v>
      </c>
      <c r="Z6" t="s">
        <v>59</v>
      </c>
      <c r="AA6">
        <f t="shared" si="2"/>
        <v>0</v>
      </c>
      <c r="AB6" t="s">
        <v>60</v>
      </c>
      <c r="AC6" s="75">
        <f t="shared" si="3"/>
        <v>6.9774029129307637E-3</v>
      </c>
      <c r="AD6" s="75"/>
    </row>
    <row r="7" spans="1:30">
      <c r="A7" t="s">
        <v>266</v>
      </c>
      <c r="B7" t="s">
        <v>66</v>
      </c>
      <c r="C7">
        <v>0</v>
      </c>
      <c r="D7">
        <v>0</v>
      </c>
      <c r="E7">
        <v>0</v>
      </c>
      <c r="F7">
        <v>25</v>
      </c>
      <c r="G7">
        <v>27</v>
      </c>
      <c r="H7">
        <v>7</v>
      </c>
      <c r="I7">
        <v>200</v>
      </c>
      <c r="J7">
        <v>0</v>
      </c>
      <c r="K7" t="s">
        <v>1</v>
      </c>
      <c r="L7">
        <v>1201.1007999999999</v>
      </c>
      <c r="M7">
        <v>2666.8413999999998</v>
      </c>
      <c r="N7">
        <v>548.1078</v>
      </c>
      <c r="O7">
        <v>548.1078</v>
      </c>
      <c r="P7" s="76">
        <f t="shared" si="0"/>
        <v>0</v>
      </c>
      <c r="Q7">
        <v>1</v>
      </c>
      <c r="R7">
        <v>713</v>
      </c>
      <c r="S7">
        <v>2793</v>
      </c>
      <c r="T7" t="s">
        <v>4</v>
      </c>
      <c r="U7" t="s">
        <v>277</v>
      </c>
      <c r="V7" s="2">
        <v>46108.912499999999</v>
      </c>
      <c r="W7" t="s">
        <v>63</v>
      </c>
      <c r="X7">
        <v>3</v>
      </c>
      <c r="Y7" s="75">
        <f t="shared" si="1"/>
        <v>7.7869239483573091E-2</v>
      </c>
      <c r="Z7" t="s">
        <v>64</v>
      </c>
      <c r="AA7">
        <f t="shared" si="2"/>
        <v>0</v>
      </c>
      <c r="AB7" t="s">
        <v>60</v>
      </c>
      <c r="AC7" s="75">
        <f>AVERAGEIFS($P:$P,$E:$E,X7)</f>
        <v>3.4711421831988179E-2</v>
      </c>
      <c r="AD7" s="75"/>
    </row>
    <row r="8" spans="1:30">
      <c r="A8" t="s">
        <v>269</v>
      </c>
      <c r="B8" t="s">
        <v>66</v>
      </c>
      <c r="C8">
        <v>0</v>
      </c>
      <c r="D8">
        <v>0</v>
      </c>
      <c r="E8">
        <v>1</v>
      </c>
      <c r="F8">
        <v>25</v>
      </c>
      <c r="G8">
        <v>27</v>
      </c>
      <c r="H8">
        <v>7</v>
      </c>
      <c r="I8">
        <v>200</v>
      </c>
      <c r="J8">
        <v>0</v>
      </c>
      <c r="K8" t="s">
        <v>1</v>
      </c>
      <c r="L8">
        <v>1201.1007999999999</v>
      </c>
      <c r="M8">
        <v>2980.3445000000002</v>
      </c>
      <c r="N8">
        <v>548.1078</v>
      </c>
      <c r="O8">
        <v>548.1078</v>
      </c>
      <c r="P8" s="76">
        <f t="shared" si="0"/>
        <v>0</v>
      </c>
      <c r="Q8">
        <v>1</v>
      </c>
      <c r="R8">
        <v>2017</v>
      </c>
      <c r="S8">
        <v>2289</v>
      </c>
      <c r="T8" t="s">
        <v>4</v>
      </c>
      <c r="U8" t="s">
        <v>278</v>
      </c>
      <c r="V8" s="2">
        <v>46108.946527777778</v>
      </c>
      <c r="W8" t="s">
        <v>65</v>
      </c>
      <c r="X8">
        <v>22</v>
      </c>
      <c r="Y8" s="75">
        <f t="shared" si="1"/>
        <v>0.20591350592818206</v>
      </c>
      <c r="Z8" t="s">
        <v>66</v>
      </c>
      <c r="AA8">
        <f t="shared" si="2"/>
        <v>0</v>
      </c>
      <c r="AB8" t="s">
        <v>60</v>
      </c>
      <c r="AC8" s="75">
        <f t="shared" si="3"/>
        <v>2.3692187291019361E-2</v>
      </c>
      <c r="AD8" s="75"/>
    </row>
    <row r="9" spans="1:30">
      <c r="A9" t="s">
        <v>271</v>
      </c>
      <c r="B9" t="s">
        <v>66</v>
      </c>
      <c r="C9">
        <v>0</v>
      </c>
      <c r="D9">
        <v>0</v>
      </c>
      <c r="E9">
        <v>2</v>
      </c>
      <c r="F9">
        <v>25</v>
      </c>
      <c r="G9">
        <v>27</v>
      </c>
      <c r="H9">
        <v>7</v>
      </c>
      <c r="I9">
        <v>200</v>
      </c>
      <c r="J9">
        <v>0</v>
      </c>
      <c r="K9" t="s">
        <v>1</v>
      </c>
      <c r="L9">
        <v>1201.1007999999999</v>
      </c>
      <c r="M9">
        <v>2381.7851999999998</v>
      </c>
      <c r="N9">
        <v>548.1078</v>
      </c>
      <c r="O9">
        <v>548.1078</v>
      </c>
      <c r="P9" s="76">
        <f t="shared" si="0"/>
        <v>0</v>
      </c>
      <c r="Q9">
        <v>1</v>
      </c>
      <c r="R9">
        <v>1435</v>
      </c>
      <c r="S9">
        <v>2268</v>
      </c>
      <c r="T9" t="s">
        <v>4</v>
      </c>
      <c r="U9" t="s">
        <v>279</v>
      </c>
      <c r="V9" s="2">
        <v>46108.974305555559</v>
      </c>
      <c r="W9" t="s">
        <v>67</v>
      </c>
      <c r="X9">
        <v>10</v>
      </c>
      <c r="Y9" s="75">
        <f t="shared" si="1"/>
        <v>3.2710523091011946E-2</v>
      </c>
      <c r="Z9" t="s">
        <v>68</v>
      </c>
      <c r="AA9">
        <f t="shared" si="2"/>
        <v>0</v>
      </c>
      <c r="AB9" t="s">
        <v>60</v>
      </c>
      <c r="AC9" s="75">
        <f t="shared" si="3"/>
        <v>2.9262166374702157E-3</v>
      </c>
      <c r="AD9" s="75"/>
    </row>
    <row r="10" spans="1:30">
      <c r="A10" t="s">
        <v>273</v>
      </c>
      <c r="B10" t="s">
        <v>66</v>
      </c>
      <c r="C10">
        <v>0</v>
      </c>
      <c r="D10">
        <v>0</v>
      </c>
      <c r="E10">
        <v>3</v>
      </c>
      <c r="F10">
        <v>25</v>
      </c>
      <c r="G10">
        <v>27</v>
      </c>
      <c r="H10">
        <v>7</v>
      </c>
      <c r="I10">
        <v>200</v>
      </c>
      <c r="J10">
        <v>0</v>
      </c>
      <c r="K10" t="s">
        <v>1</v>
      </c>
      <c r="L10">
        <v>1201.1007999999999</v>
      </c>
      <c r="M10">
        <v>106.3065</v>
      </c>
      <c r="N10">
        <v>548.1078</v>
      </c>
      <c r="O10">
        <v>551.62199999999996</v>
      </c>
      <c r="P10" s="76">
        <f t="shared" si="0"/>
        <v>6.3706668697041816E-3</v>
      </c>
      <c r="Q10">
        <v>0</v>
      </c>
      <c r="R10">
        <v>211</v>
      </c>
      <c r="S10">
        <v>2485</v>
      </c>
      <c r="T10" t="s">
        <v>4</v>
      </c>
      <c r="U10" t="s">
        <v>280</v>
      </c>
      <c r="V10" s="2">
        <v>46108.975694444445</v>
      </c>
      <c r="X10">
        <v>33</v>
      </c>
      <c r="Y10" s="75">
        <f t="shared" si="1"/>
        <v>0</v>
      </c>
      <c r="AA10">
        <f t="shared" si="2"/>
        <v>0</v>
      </c>
      <c r="AC10" s="75">
        <f t="shared" si="3"/>
        <v>0</v>
      </c>
      <c r="AD10" s="75"/>
    </row>
    <row r="11" spans="1:30">
      <c r="A11" t="s">
        <v>275</v>
      </c>
      <c r="B11" t="s">
        <v>66</v>
      </c>
      <c r="C11">
        <v>0</v>
      </c>
      <c r="D11">
        <v>0</v>
      </c>
      <c r="E11">
        <v>22</v>
      </c>
      <c r="F11">
        <v>25</v>
      </c>
      <c r="G11">
        <v>27</v>
      </c>
      <c r="H11">
        <v>7</v>
      </c>
      <c r="I11">
        <v>200</v>
      </c>
      <c r="J11">
        <v>0</v>
      </c>
      <c r="K11" t="s">
        <v>1</v>
      </c>
      <c r="L11">
        <v>1201.1007999999999</v>
      </c>
      <c r="M11">
        <v>3600.2435999999998</v>
      </c>
      <c r="N11">
        <v>548.1078</v>
      </c>
      <c r="O11">
        <v>690.23689999999999</v>
      </c>
      <c r="P11" s="76">
        <f t="shared" si="0"/>
        <v>0.20591350592818206</v>
      </c>
      <c r="Q11">
        <v>0</v>
      </c>
      <c r="R11">
        <v>1878</v>
      </c>
      <c r="S11">
        <v>714</v>
      </c>
      <c r="T11" t="s">
        <v>4</v>
      </c>
      <c r="U11" t="s">
        <v>281</v>
      </c>
      <c r="V11" s="2">
        <v>46109.017361111109</v>
      </c>
      <c r="AD11" s="75"/>
    </row>
    <row r="12" spans="1:30">
      <c r="A12" t="s">
        <v>266</v>
      </c>
      <c r="B12" t="s">
        <v>72</v>
      </c>
      <c r="C12">
        <v>0</v>
      </c>
      <c r="D12">
        <v>0</v>
      </c>
      <c r="E12">
        <v>0</v>
      </c>
      <c r="F12">
        <v>25</v>
      </c>
      <c r="G12">
        <v>27</v>
      </c>
      <c r="H12">
        <v>5</v>
      </c>
      <c r="I12">
        <v>200</v>
      </c>
      <c r="J12">
        <v>0</v>
      </c>
      <c r="K12" t="s">
        <v>1</v>
      </c>
      <c r="L12">
        <v>1201.3643</v>
      </c>
      <c r="M12">
        <v>142.071</v>
      </c>
      <c r="N12">
        <f>N14</f>
        <v>454.6</v>
      </c>
      <c r="O12">
        <v>455.69819999999999</v>
      </c>
      <c r="P12" s="76">
        <f t="shared" si="0"/>
        <v>2.4099283253696483E-3</v>
      </c>
      <c r="Q12">
        <v>0</v>
      </c>
      <c r="R12">
        <v>1</v>
      </c>
      <c r="S12">
        <v>1375</v>
      </c>
      <c r="T12" t="s">
        <v>162</v>
      </c>
      <c r="U12" t="s">
        <v>282</v>
      </c>
      <c r="V12" s="2">
        <v>46109.032638888886</v>
      </c>
      <c r="X12" t="s">
        <v>268</v>
      </c>
      <c r="Y12" t="s">
        <v>69</v>
      </c>
    </row>
    <row r="13" spans="1:30">
      <c r="A13" t="s">
        <v>269</v>
      </c>
      <c r="B13" t="s">
        <v>72</v>
      </c>
      <c r="C13">
        <v>0</v>
      </c>
      <c r="D13">
        <v>0</v>
      </c>
      <c r="E13">
        <v>1</v>
      </c>
      <c r="F13">
        <v>25</v>
      </c>
      <c r="G13">
        <v>27</v>
      </c>
      <c r="H13">
        <v>5</v>
      </c>
      <c r="I13">
        <v>200</v>
      </c>
      <c r="J13">
        <v>0</v>
      </c>
      <c r="K13" t="s">
        <v>1</v>
      </c>
      <c r="L13">
        <v>1201.3643</v>
      </c>
      <c r="M13">
        <v>109.9558</v>
      </c>
      <c r="N13">
        <f>N14</f>
        <v>454.6</v>
      </c>
      <c r="O13">
        <v>455.69819999999999</v>
      </c>
      <c r="P13" s="76">
        <f t="shared" si="0"/>
        <v>2.4099283253696483E-3</v>
      </c>
      <c r="Q13">
        <v>0</v>
      </c>
      <c r="R13">
        <v>1</v>
      </c>
      <c r="S13">
        <v>1450</v>
      </c>
      <c r="T13" t="s">
        <v>162</v>
      </c>
      <c r="U13" t="s">
        <v>283</v>
      </c>
      <c r="V13" s="2">
        <v>46109.03402777778</v>
      </c>
      <c r="X13" t="s">
        <v>54</v>
      </c>
      <c r="Y13" t="s">
        <v>55</v>
      </c>
      <c r="Z13" t="s">
        <v>56</v>
      </c>
      <c r="AA13" t="s">
        <v>57</v>
      </c>
      <c r="AB13" t="s">
        <v>56</v>
      </c>
      <c r="AC13" t="s">
        <v>58</v>
      </c>
    </row>
    <row r="14" spans="1:30">
      <c r="A14" t="s">
        <v>271</v>
      </c>
      <c r="B14" t="s">
        <v>72</v>
      </c>
      <c r="C14">
        <v>0</v>
      </c>
      <c r="D14">
        <v>0</v>
      </c>
      <c r="E14">
        <v>2</v>
      </c>
      <c r="F14">
        <v>25</v>
      </c>
      <c r="G14">
        <v>27</v>
      </c>
      <c r="H14">
        <v>5</v>
      </c>
      <c r="I14">
        <v>200</v>
      </c>
      <c r="J14">
        <v>0</v>
      </c>
      <c r="K14" t="s">
        <v>1</v>
      </c>
      <c r="L14">
        <v>1201.3643</v>
      </c>
      <c r="M14">
        <v>111.53740000000001</v>
      </c>
      <c r="N14">
        <f>N15</f>
        <v>454.6</v>
      </c>
      <c r="O14">
        <v>455.69819999999999</v>
      </c>
      <c r="P14" s="76">
        <f t="shared" si="0"/>
        <v>2.4099283253696483E-3</v>
      </c>
      <c r="Q14">
        <v>0</v>
      </c>
      <c r="R14">
        <v>1</v>
      </c>
      <c r="S14">
        <v>1380</v>
      </c>
      <c r="T14" t="s">
        <v>162</v>
      </c>
      <c r="U14" t="s">
        <v>284</v>
      </c>
      <c r="V14" s="2">
        <v>46109.035416666666</v>
      </c>
      <c r="X14">
        <v>0</v>
      </c>
      <c r="Y14">
        <f>_xlfn.MAXIFS($M:$M,$E:$E,X14)</f>
        <v>3999.3000999999999</v>
      </c>
      <c r="Z14" t="s">
        <v>59</v>
      </c>
      <c r="AA14">
        <f>_xlfn.MINIFS($M:$M,$E:$E,X14)</f>
        <v>67.948899999999995</v>
      </c>
      <c r="AC14">
        <f>AVERAGEIFS($M:$M,$E:$E,X14)</f>
        <v>1577.3655799999999</v>
      </c>
    </row>
    <row r="15" spans="1:30">
      <c r="A15" t="s">
        <v>273</v>
      </c>
      <c r="B15" t="s">
        <v>72</v>
      </c>
      <c r="C15">
        <v>0</v>
      </c>
      <c r="D15">
        <v>0</v>
      </c>
      <c r="E15">
        <v>3</v>
      </c>
      <c r="F15">
        <v>25</v>
      </c>
      <c r="G15">
        <v>27</v>
      </c>
      <c r="H15">
        <v>5</v>
      </c>
      <c r="I15">
        <v>200</v>
      </c>
      <c r="J15">
        <v>0</v>
      </c>
      <c r="K15" t="s">
        <v>1</v>
      </c>
      <c r="L15">
        <v>1201.3643</v>
      </c>
      <c r="M15">
        <v>164.38319999999999</v>
      </c>
      <c r="N15">
        <f>N16</f>
        <v>454.6</v>
      </c>
      <c r="O15">
        <v>468.1968</v>
      </c>
      <c r="P15" s="76">
        <f t="shared" si="0"/>
        <v>2.9040779432922166E-2</v>
      </c>
      <c r="Q15">
        <v>0</v>
      </c>
      <c r="R15">
        <v>379</v>
      </c>
      <c r="S15">
        <v>2445</v>
      </c>
      <c r="T15" t="s">
        <v>162</v>
      </c>
      <c r="U15" t="s">
        <v>285</v>
      </c>
      <c r="V15" s="2">
        <v>46109.037499999999</v>
      </c>
      <c r="X15">
        <v>1</v>
      </c>
      <c r="Y15">
        <f t="shared" ref="Y15:Y20" si="4">_xlfn.MAXIFS($M:$M,$E:$E,X15)</f>
        <v>3786.1477</v>
      </c>
      <c r="Z15" t="s">
        <v>70</v>
      </c>
      <c r="AA15">
        <f t="shared" ref="AA15:AA20" si="5">_xlfn.MINIFS($M:$M,$E:$E,X15)</f>
        <v>20.212499999999999</v>
      </c>
      <c r="AC15">
        <f t="shared" ref="AC15:AC20" si="6">AVERAGEIFS($M:$M,$E:$E,X15)</f>
        <v>1251.4237000000001</v>
      </c>
    </row>
    <row r="16" spans="1:30">
      <c r="A16" t="s">
        <v>275</v>
      </c>
      <c r="B16" t="s">
        <v>72</v>
      </c>
      <c r="C16">
        <v>0</v>
      </c>
      <c r="D16">
        <v>0</v>
      </c>
      <c r="E16">
        <v>22</v>
      </c>
      <c r="F16">
        <v>25</v>
      </c>
      <c r="G16">
        <v>27</v>
      </c>
      <c r="H16">
        <v>5</v>
      </c>
      <c r="I16">
        <v>200</v>
      </c>
      <c r="J16">
        <v>0</v>
      </c>
      <c r="K16" t="s">
        <v>1</v>
      </c>
      <c r="L16">
        <v>1201.3643</v>
      </c>
      <c r="M16">
        <v>447.5025</v>
      </c>
      <c r="N16">
        <f>N88</f>
        <v>454.6</v>
      </c>
      <c r="O16">
        <v>455.69819999999999</v>
      </c>
      <c r="P16" s="76">
        <f t="shared" si="0"/>
        <v>2.4099283253696483E-3</v>
      </c>
      <c r="Q16">
        <v>0</v>
      </c>
      <c r="R16">
        <v>1</v>
      </c>
      <c r="S16">
        <v>645</v>
      </c>
      <c r="T16" t="s">
        <v>162</v>
      </c>
      <c r="U16" t="s">
        <v>286</v>
      </c>
      <c r="V16" s="2">
        <v>46109.042361111111</v>
      </c>
      <c r="X16">
        <v>2</v>
      </c>
      <c r="Y16">
        <f t="shared" si="4"/>
        <v>4212.7161999999998</v>
      </c>
      <c r="Z16" t="s">
        <v>70</v>
      </c>
      <c r="AA16">
        <f t="shared" si="5"/>
        <v>23.310600000000001</v>
      </c>
      <c r="AC16">
        <f t="shared" si="6"/>
        <v>1214.44336</v>
      </c>
    </row>
    <row r="17" spans="1:29">
      <c r="A17" t="s">
        <v>266</v>
      </c>
      <c r="B17" t="s">
        <v>73</v>
      </c>
      <c r="C17">
        <v>0</v>
      </c>
      <c r="D17">
        <v>0</v>
      </c>
      <c r="E17">
        <v>0</v>
      </c>
      <c r="F17">
        <v>25</v>
      </c>
      <c r="G17">
        <v>27</v>
      </c>
      <c r="H17">
        <v>4</v>
      </c>
      <c r="I17">
        <v>200</v>
      </c>
      <c r="J17">
        <v>0</v>
      </c>
      <c r="K17" t="s">
        <v>1</v>
      </c>
      <c r="L17">
        <v>1201.5134</v>
      </c>
      <c r="M17">
        <v>119.91160000000001</v>
      </c>
      <c r="N17">
        <f>N18</f>
        <v>416.9</v>
      </c>
      <c r="O17">
        <v>417.96120000000002</v>
      </c>
      <c r="P17" s="76">
        <f t="shared" si="0"/>
        <v>2.5389916575989401E-3</v>
      </c>
      <c r="Q17">
        <v>0</v>
      </c>
      <c r="R17">
        <v>1</v>
      </c>
      <c r="S17">
        <v>1040</v>
      </c>
      <c r="T17" t="s">
        <v>166</v>
      </c>
      <c r="U17" t="s">
        <v>287</v>
      </c>
      <c r="V17" s="2">
        <v>46109.057638888888</v>
      </c>
      <c r="X17">
        <v>3</v>
      </c>
      <c r="Y17">
        <f t="shared" si="4"/>
        <v>3633.8024999999998</v>
      </c>
      <c r="Z17" t="s">
        <v>59</v>
      </c>
      <c r="AA17">
        <f t="shared" si="5"/>
        <v>2.2683</v>
      </c>
      <c r="AC17">
        <f t="shared" si="6"/>
        <v>814.73283333333325</v>
      </c>
    </row>
    <row r="18" spans="1:29">
      <c r="A18" t="s">
        <v>269</v>
      </c>
      <c r="B18" t="s">
        <v>73</v>
      </c>
      <c r="C18">
        <v>0</v>
      </c>
      <c r="D18">
        <v>0</v>
      </c>
      <c r="E18">
        <v>1</v>
      </c>
      <c r="F18">
        <v>25</v>
      </c>
      <c r="G18">
        <v>27</v>
      </c>
      <c r="H18">
        <v>4</v>
      </c>
      <c r="I18">
        <v>200</v>
      </c>
      <c r="J18">
        <v>0</v>
      </c>
      <c r="K18" t="s">
        <v>1</v>
      </c>
      <c r="L18">
        <v>1201.5134</v>
      </c>
      <c r="M18">
        <v>150.0521</v>
      </c>
      <c r="N18">
        <f>N19</f>
        <v>416.9</v>
      </c>
      <c r="O18">
        <v>417.96120000000002</v>
      </c>
      <c r="P18" s="76">
        <f t="shared" si="0"/>
        <v>2.5389916575989401E-3</v>
      </c>
      <c r="Q18">
        <v>0</v>
      </c>
      <c r="R18">
        <v>15</v>
      </c>
      <c r="S18">
        <v>1752</v>
      </c>
      <c r="T18" t="s">
        <v>166</v>
      </c>
      <c r="U18" t="s">
        <v>288</v>
      </c>
      <c r="V18" s="2">
        <v>46109.05972222222</v>
      </c>
      <c r="X18">
        <v>22</v>
      </c>
      <c r="Y18">
        <f t="shared" si="4"/>
        <v>4555</v>
      </c>
      <c r="Z18" t="s">
        <v>70</v>
      </c>
      <c r="AA18">
        <f t="shared" si="5"/>
        <v>99.904700000000005</v>
      </c>
      <c r="AC18">
        <f t="shared" si="6"/>
        <v>2195.5549066666667</v>
      </c>
    </row>
    <row r="19" spans="1:29">
      <c r="A19" t="s">
        <v>271</v>
      </c>
      <c r="B19" t="s">
        <v>73</v>
      </c>
      <c r="C19">
        <v>0</v>
      </c>
      <c r="D19">
        <v>0</v>
      </c>
      <c r="E19">
        <v>2</v>
      </c>
      <c r="F19">
        <v>25</v>
      </c>
      <c r="G19">
        <v>27</v>
      </c>
      <c r="H19">
        <v>4</v>
      </c>
      <c r="I19">
        <v>200</v>
      </c>
      <c r="J19">
        <v>0</v>
      </c>
      <c r="K19" t="s">
        <v>1</v>
      </c>
      <c r="L19">
        <v>1201.5134</v>
      </c>
      <c r="M19">
        <v>86.701700000000002</v>
      </c>
      <c r="N19">
        <f>N20</f>
        <v>416.9</v>
      </c>
      <c r="O19">
        <v>417.96120000000002</v>
      </c>
      <c r="P19" s="76">
        <f t="shared" si="0"/>
        <v>2.5389916575989401E-3</v>
      </c>
      <c r="Q19">
        <v>0</v>
      </c>
      <c r="R19">
        <v>1</v>
      </c>
      <c r="S19">
        <v>1384</v>
      </c>
      <c r="T19" t="s">
        <v>166</v>
      </c>
      <c r="U19" t="s">
        <v>289</v>
      </c>
      <c r="V19" s="2">
        <v>46109.060416666667</v>
      </c>
      <c r="X19">
        <v>10</v>
      </c>
      <c r="Y19">
        <f t="shared" si="4"/>
        <v>3346.43</v>
      </c>
      <c r="Z19" t="s">
        <v>71</v>
      </c>
      <c r="AA19">
        <f t="shared" si="5"/>
        <v>25.3171</v>
      </c>
      <c r="AC19">
        <f t="shared" si="6"/>
        <v>545.35545714285706</v>
      </c>
    </row>
    <row r="20" spans="1:29">
      <c r="A20" t="s">
        <v>273</v>
      </c>
      <c r="B20" t="s">
        <v>73</v>
      </c>
      <c r="C20">
        <v>0</v>
      </c>
      <c r="D20">
        <v>0</v>
      </c>
      <c r="E20">
        <v>3</v>
      </c>
      <c r="F20">
        <v>25</v>
      </c>
      <c r="G20">
        <v>27</v>
      </c>
      <c r="H20">
        <v>4</v>
      </c>
      <c r="I20">
        <v>200</v>
      </c>
      <c r="J20">
        <v>0</v>
      </c>
      <c r="K20" t="s">
        <v>1</v>
      </c>
      <c r="L20">
        <v>1201.5134</v>
      </c>
      <c r="M20">
        <v>18.886500000000002</v>
      </c>
      <c r="N20">
        <f>N21</f>
        <v>416.9</v>
      </c>
      <c r="O20">
        <v>427.22129999999999</v>
      </c>
      <c r="P20" s="76">
        <f t="shared" si="0"/>
        <v>2.4159141877991591E-2</v>
      </c>
      <c r="Q20">
        <v>0</v>
      </c>
      <c r="R20">
        <v>1</v>
      </c>
      <c r="S20">
        <v>1744</v>
      </c>
      <c r="T20" t="s">
        <v>166</v>
      </c>
      <c r="U20" t="s">
        <v>290</v>
      </c>
      <c r="V20" s="2">
        <v>46109.060416666667</v>
      </c>
      <c r="X20">
        <v>33</v>
      </c>
      <c r="Y20">
        <f t="shared" si="4"/>
        <v>4210.5146205425262</v>
      </c>
      <c r="AA20">
        <f t="shared" si="5"/>
        <v>16.68877029418945</v>
      </c>
      <c r="AC20">
        <f t="shared" si="6"/>
        <v>968.74467966556551</v>
      </c>
    </row>
    <row r="21" spans="1:29">
      <c r="A21" t="s">
        <v>275</v>
      </c>
      <c r="B21" t="s">
        <v>73</v>
      </c>
      <c r="C21">
        <v>0</v>
      </c>
      <c r="D21">
        <v>0</v>
      </c>
      <c r="E21">
        <v>22</v>
      </c>
      <c r="F21">
        <v>25</v>
      </c>
      <c r="G21">
        <v>27</v>
      </c>
      <c r="H21">
        <v>4</v>
      </c>
      <c r="I21">
        <v>200</v>
      </c>
      <c r="J21">
        <v>0</v>
      </c>
      <c r="K21" t="s">
        <v>1</v>
      </c>
      <c r="L21">
        <v>1201.5134</v>
      </c>
      <c r="M21">
        <v>392.80579999999998</v>
      </c>
      <c r="N21">
        <f>N89</f>
        <v>416.9</v>
      </c>
      <c r="O21">
        <v>420.63339999999999</v>
      </c>
      <c r="P21" s="76">
        <f t="shared" si="0"/>
        <v>8.8756622750357384E-3</v>
      </c>
      <c r="Q21">
        <v>0</v>
      </c>
      <c r="R21">
        <v>1</v>
      </c>
      <c r="S21">
        <v>500</v>
      </c>
      <c r="T21" t="s">
        <v>166</v>
      </c>
      <c r="U21" t="s">
        <v>291</v>
      </c>
      <c r="V21" s="2">
        <v>46109.06527777778</v>
      </c>
    </row>
    <row r="22" spans="1:29">
      <c r="A22" t="s">
        <v>266</v>
      </c>
      <c r="B22" t="s">
        <v>74</v>
      </c>
      <c r="C22">
        <v>0</v>
      </c>
      <c r="D22">
        <v>0</v>
      </c>
      <c r="E22">
        <v>0</v>
      </c>
      <c r="F22">
        <v>25</v>
      </c>
      <c r="G22">
        <v>27</v>
      </c>
      <c r="H22">
        <v>6</v>
      </c>
      <c r="I22">
        <v>200</v>
      </c>
      <c r="J22">
        <v>0</v>
      </c>
      <c r="K22" t="s">
        <v>1</v>
      </c>
      <c r="L22">
        <v>17.8249</v>
      </c>
      <c r="M22">
        <v>90.908100000000005</v>
      </c>
      <c r="N22">
        <f>N23</f>
        <v>530.50000000000011</v>
      </c>
      <c r="O22">
        <v>531.53859999999997</v>
      </c>
      <c r="P22" s="76">
        <f t="shared" si="0"/>
        <v>1.9539502869591416E-3</v>
      </c>
      <c r="Q22">
        <v>1</v>
      </c>
      <c r="R22">
        <v>1</v>
      </c>
      <c r="S22">
        <v>828</v>
      </c>
      <c r="T22" t="s">
        <v>10</v>
      </c>
      <c r="U22" t="s">
        <v>292</v>
      </c>
      <c r="V22" s="2">
        <v>46109.066666666666</v>
      </c>
    </row>
    <row r="23" spans="1:29">
      <c r="A23" t="s">
        <v>269</v>
      </c>
      <c r="B23" t="s">
        <v>74</v>
      </c>
      <c r="C23">
        <v>0</v>
      </c>
      <c r="D23">
        <v>0</v>
      </c>
      <c r="E23">
        <v>1</v>
      </c>
      <c r="F23">
        <v>25</v>
      </c>
      <c r="G23">
        <v>27</v>
      </c>
      <c r="H23">
        <v>6</v>
      </c>
      <c r="I23">
        <v>200</v>
      </c>
      <c r="J23">
        <v>0</v>
      </c>
      <c r="K23" t="s">
        <v>1</v>
      </c>
      <c r="L23">
        <v>17.8249</v>
      </c>
      <c r="M23">
        <v>56.1524</v>
      </c>
      <c r="N23">
        <f>N24</f>
        <v>530.50000000000011</v>
      </c>
      <c r="O23">
        <v>531.53859999999997</v>
      </c>
      <c r="P23" s="76">
        <f t="shared" si="0"/>
        <v>1.9539502869591416E-3</v>
      </c>
      <c r="Q23">
        <v>1</v>
      </c>
      <c r="R23">
        <v>1</v>
      </c>
      <c r="S23">
        <v>1134</v>
      </c>
      <c r="T23" t="s">
        <v>10</v>
      </c>
      <c r="U23" t="s">
        <v>293</v>
      </c>
      <c r="V23" s="2">
        <v>46109.067361111112</v>
      </c>
    </row>
    <row r="24" spans="1:29">
      <c r="A24" t="s">
        <v>271</v>
      </c>
      <c r="B24" t="s">
        <v>74</v>
      </c>
      <c r="C24">
        <v>0</v>
      </c>
      <c r="D24">
        <v>0</v>
      </c>
      <c r="E24">
        <v>2</v>
      </c>
      <c r="F24">
        <v>25</v>
      </c>
      <c r="G24">
        <v>27</v>
      </c>
      <c r="H24">
        <v>6</v>
      </c>
      <c r="I24">
        <v>200</v>
      </c>
      <c r="J24">
        <v>0</v>
      </c>
      <c r="K24" t="s">
        <v>1</v>
      </c>
      <c r="L24">
        <v>17.8249</v>
      </c>
      <c r="M24">
        <v>57.6008</v>
      </c>
      <c r="N24">
        <f>N25</f>
        <v>530.50000000000011</v>
      </c>
      <c r="O24">
        <v>531.53859999999997</v>
      </c>
      <c r="P24" s="76">
        <f t="shared" si="0"/>
        <v>1.9539502869591416E-3</v>
      </c>
      <c r="Q24">
        <v>1</v>
      </c>
      <c r="R24">
        <v>1</v>
      </c>
      <c r="S24">
        <v>1242</v>
      </c>
      <c r="T24" t="s">
        <v>10</v>
      </c>
      <c r="U24" t="s">
        <v>294</v>
      </c>
      <c r="V24" s="2">
        <v>46109.068055555559</v>
      </c>
    </row>
    <row r="25" spans="1:29">
      <c r="A25" t="s">
        <v>273</v>
      </c>
      <c r="B25" t="s">
        <v>74</v>
      </c>
      <c r="C25">
        <v>0</v>
      </c>
      <c r="D25">
        <v>0</v>
      </c>
      <c r="E25">
        <v>3</v>
      </c>
      <c r="F25">
        <v>25</v>
      </c>
      <c r="G25">
        <v>27</v>
      </c>
      <c r="H25">
        <v>6</v>
      </c>
      <c r="I25">
        <v>200</v>
      </c>
      <c r="J25">
        <v>0</v>
      </c>
      <c r="K25" t="s">
        <v>1</v>
      </c>
      <c r="L25">
        <v>17.8249</v>
      </c>
      <c r="M25">
        <v>22.607299999999999</v>
      </c>
      <c r="N25">
        <f>N26</f>
        <v>530.50000000000011</v>
      </c>
      <c r="O25">
        <v>537.51660000000004</v>
      </c>
      <c r="P25" s="76">
        <f t="shared" si="0"/>
        <v>1.3053736386931912E-2</v>
      </c>
      <c r="Q25">
        <v>0</v>
      </c>
      <c r="R25">
        <v>65</v>
      </c>
      <c r="S25">
        <v>1452</v>
      </c>
      <c r="T25" t="s">
        <v>10</v>
      </c>
      <c r="U25" t="s">
        <v>295</v>
      </c>
      <c r="V25" s="2">
        <v>46109.068055555559</v>
      </c>
    </row>
    <row r="26" spans="1:29">
      <c r="A26" t="s">
        <v>275</v>
      </c>
      <c r="B26" t="s">
        <v>74</v>
      </c>
      <c r="C26">
        <v>0</v>
      </c>
      <c r="D26">
        <v>0</v>
      </c>
      <c r="E26">
        <v>22</v>
      </c>
      <c r="F26">
        <v>25</v>
      </c>
      <c r="G26">
        <v>27</v>
      </c>
      <c r="H26">
        <v>6</v>
      </c>
      <c r="I26">
        <v>200</v>
      </c>
      <c r="J26">
        <v>0</v>
      </c>
      <c r="K26" t="s">
        <v>1</v>
      </c>
      <c r="L26">
        <v>17.8249</v>
      </c>
      <c r="M26">
        <v>210.86269999999999</v>
      </c>
      <c r="N26">
        <f>N90</f>
        <v>530.50000000000011</v>
      </c>
      <c r="O26">
        <v>531.53859999999997</v>
      </c>
      <c r="P26" s="76">
        <f t="shared" si="0"/>
        <v>1.9539502869591416E-3</v>
      </c>
      <c r="Q26">
        <v>1</v>
      </c>
      <c r="R26">
        <v>1</v>
      </c>
      <c r="S26">
        <v>492</v>
      </c>
      <c r="T26" t="s">
        <v>10</v>
      </c>
      <c r="U26" t="s">
        <v>296</v>
      </c>
      <c r="V26" s="2">
        <v>46109.070138888892</v>
      </c>
    </row>
    <row r="27" spans="1:29">
      <c r="A27" t="s">
        <v>266</v>
      </c>
      <c r="B27" t="s">
        <v>75</v>
      </c>
      <c r="C27">
        <v>0</v>
      </c>
      <c r="D27">
        <v>0</v>
      </c>
      <c r="E27">
        <v>0</v>
      </c>
      <c r="F27">
        <v>25</v>
      </c>
      <c r="G27">
        <v>27</v>
      </c>
      <c r="H27">
        <v>5</v>
      </c>
      <c r="I27">
        <v>200</v>
      </c>
      <c r="J27">
        <v>0</v>
      </c>
      <c r="K27" t="s">
        <v>1</v>
      </c>
      <c r="L27">
        <v>1092.5516</v>
      </c>
      <c r="M27">
        <v>1481.3308</v>
      </c>
      <c r="N27">
        <f>N28</f>
        <v>465.4</v>
      </c>
      <c r="O27">
        <v>470.52350000000001</v>
      </c>
      <c r="P27" s="76">
        <f t="shared" si="0"/>
        <v>1.08889354091773E-2</v>
      </c>
      <c r="Q27">
        <v>0</v>
      </c>
      <c r="R27">
        <v>307</v>
      </c>
      <c r="S27">
        <v>2765</v>
      </c>
      <c r="T27" t="s">
        <v>12</v>
      </c>
      <c r="U27" t="s">
        <v>297</v>
      </c>
      <c r="V27" s="2">
        <v>46109.1</v>
      </c>
    </row>
    <row r="28" spans="1:29">
      <c r="A28" t="s">
        <v>269</v>
      </c>
      <c r="B28" t="s">
        <v>75</v>
      </c>
      <c r="C28">
        <v>0</v>
      </c>
      <c r="D28">
        <v>0</v>
      </c>
      <c r="E28">
        <v>1</v>
      </c>
      <c r="F28">
        <v>25</v>
      </c>
      <c r="G28">
        <v>27</v>
      </c>
      <c r="H28">
        <v>5</v>
      </c>
      <c r="I28">
        <v>200</v>
      </c>
      <c r="J28">
        <v>0</v>
      </c>
      <c r="K28" t="s">
        <v>1</v>
      </c>
      <c r="L28">
        <v>1092.5516</v>
      </c>
      <c r="M28">
        <v>809.25009999999997</v>
      </c>
      <c r="N28">
        <f>N29</f>
        <v>465.4</v>
      </c>
      <c r="O28">
        <v>466.48020000000002</v>
      </c>
      <c r="P28" s="76">
        <f t="shared" si="0"/>
        <v>2.3156395491170847E-3</v>
      </c>
      <c r="Q28">
        <v>1</v>
      </c>
      <c r="R28">
        <v>137</v>
      </c>
      <c r="S28">
        <v>2280</v>
      </c>
      <c r="T28" t="s">
        <v>12</v>
      </c>
      <c r="U28" t="s">
        <v>298</v>
      </c>
      <c r="V28" s="2">
        <v>46109.109722222223</v>
      </c>
    </row>
    <row r="29" spans="1:29">
      <c r="A29" t="s">
        <v>271</v>
      </c>
      <c r="B29" t="s">
        <v>75</v>
      </c>
      <c r="C29">
        <v>0</v>
      </c>
      <c r="D29">
        <v>0</v>
      </c>
      <c r="E29">
        <v>2</v>
      </c>
      <c r="F29">
        <v>25</v>
      </c>
      <c r="G29">
        <v>27</v>
      </c>
      <c r="H29">
        <v>5</v>
      </c>
      <c r="I29">
        <v>200</v>
      </c>
      <c r="J29">
        <v>0</v>
      </c>
      <c r="K29" t="s">
        <v>1</v>
      </c>
      <c r="L29">
        <v>1092.5516</v>
      </c>
      <c r="M29">
        <v>875.56370000000004</v>
      </c>
      <c r="N29">
        <f>N30</f>
        <v>465.4</v>
      </c>
      <c r="O29">
        <v>466.48020000000002</v>
      </c>
      <c r="P29" s="76">
        <f t="shared" si="0"/>
        <v>2.3156395491170847E-3</v>
      </c>
      <c r="Q29">
        <v>1</v>
      </c>
      <c r="R29">
        <v>153</v>
      </c>
      <c r="S29">
        <v>2390</v>
      </c>
      <c r="T29" t="s">
        <v>12</v>
      </c>
      <c r="U29" t="s">
        <v>299</v>
      </c>
      <c r="V29" s="2">
        <v>46109.119444444441</v>
      </c>
    </row>
    <row r="30" spans="1:29">
      <c r="A30" t="s">
        <v>273</v>
      </c>
      <c r="B30" t="s">
        <v>75</v>
      </c>
      <c r="C30">
        <v>0</v>
      </c>
      <c r="D30">
        <v>0</v>
      </c>
      <c r="E30">
        <v>3</v>
      </c>
      <c r="F30">
        <v>25</v>
      </c>
      <c r="G30">
        <v>27</v>
      </c>
      <c r="H30">
        <v>5</v>
      </c>
      <c r="I30">
        <v>200</v>
      </c>
      <c r="J30">
        <v>0</v>
      </c>
      <c r="K30" t="s">
        <v>1</v>
      </c>
      <c r="L30">
        <v>1092.5516</v>
      </c>
      <c r="M30">
        <v>2234.3161</v>
      </c>
      <c r="N30">
        <f>N31</f>
        <v>465.4</v>
      </c>
      <c r="O30">
        <v>501.45339999999999</v>
      </c>
      <c r="P30" s="76">
        <f t="shared" si="0"/>
        <v>7.1897807453294785E-2</v>
      </c>
      <c r="Q30">
        <v>0</v>
      </c>
      <c r="R30">
        <v>16147</v>
      </c>
      <c r="S30">
        <v>6465</v>
      </c>
      <c r="T30" t="s">
        <v>12</v>
      </c>
      <c r="U30" t="s">
        <v>300</v>
      </c>
      <c r="V30" s="2">
        <v>46109.145833333336</v>
      </c>
    </row>
    <row r="31" spans="1:29">
      <c r="A31" t="s">
        <v>275</v>
      </c>
      <c r="B31" t="s">
        <v>75</v>
      </c>
      <c r="C31">
        <v>0</v>
      </c>
      <c r="D31">
        <v>0</v>
      </c>
      <c r="E31">
        <v>22</v>
      </c>
      <c r="F31">
        <v>25</v>
      </c>
      <c r="G31">
        <v>27</v>
      </c>
      <c r="H31">
        <v>5</v>
      </c>
      <c r="I31">
        <v>200</v>
      </c>
      <c r="J31">
        <v>0</v>
      </c>
      <c r="K31" t="s">
        <v>1</v>
      </c>
      <c r="L31">
        <v>1092.5516</v>
      </c>
      <c r="M31">
        <v>3602.4569000000001</v>
      </c>
      <c r="N31">
        <f>N91</f>
        <v>465.4</v>
      </c>
      <c r="O31">
        <f>O30</f>
        <v>501.45339999999999</v>
      </c>
      <c r="P31" s="76">
        <f t="shared" si="0"/>
        <v>7.1897807453294785E-2</v>
      </c>
      <c r="R31">
        <v>0</v>
      </c>
      <c r="S31">
        <v>0</v>
      </c>
      <c r="T31" t="s">
        <v>12</v>
      </c>
      <c r="U31" t="s">
        <v>28</v>
      </c>
      <c r="V31" s="2">
        <v>46109.1875</v>
      </c>
    </row>
    <row r="32" spans="1:29">
      <c r="A32" t="s">
        <v>266</v>
      </c>
      <c r="B32" t="s">
        <v>76</v>
      </c>
      <c r="C32">
        <v>0</v>
      </c>
      <c r="D32">
        <v>0</v>
      </c>
      <c r="E32">
        <v>0</v>
      </c>
      <c r="F32">
        <v>25</v>
      </c>
      <c r="G32">
        <v>27</v>
      </c>
      <c r="H32">
        <v>4</v>
      </c>
      <c r="I32">
        <v>200</v>
      </c>
      <c r="J32">
        <v>0</v>
      </c>
      <c r="K32" t="s">
        <v>1</v>
      </c>
      <c r="L32">
        <v>1201.3897999999999</v>
      </c>
      <c r="M32">
        <v>169.63300000000001</v>
      </c>
      <c r="N32">
        <f>N33</f>
        <v>424.3</v>
      </c>
      <c r="O32">
        <v>425.26850000000002</v>
      </c>
      <c r="P32" s="76">
        <f t="shared" si="0"/>
        <v>2.2773847580998966E-3</v>
      </c>
      <c r="Q32">
        <v>0</v>
      </c>
      <c r="R32">
        <v>1</v>
      </c>
      <c r="S32">
        <v>1156</v>
      </c>
      <c r="T32" t="s">
        <v>174</v>
      </c>
      <c r="U32" t="s">
        <v>301</v>
      </c>
      <c r="V32" s="2">
        <v>46109.203472222223</v>
      </c>
    </row>
    <row r="33" spans="1:22">
      <c r="A33" t="s">
        <v>269</v>
      </c>
      <c r="B33" t="s">
        <v>76</v>
      </c>
      <c r="C33">
        <v>0</v>
      </c>
      <c r="D33">
        <v>0</v>
      </c>
      <c r="E33">
        <v>1</v>
      </c>
      <c r="F33">
        <v>25</v>
      </c>
      <c r="G33">
        <v>27</v>
      </c>
      <c r="H33">
        <v>4</v>
      </c>
      <c r="I33">
        <v>200</v>
      </c>
      <c r="J33">
        <v>0</v>
      </c>
      <c r="K33" t="s">
        <v>1</v>
      </c>
      <c r="L33">
        <v>1201.3897999999999</v>
      </c>
      <c r="M33">
        <v>183.1797</v>
      </c>
      <c r="N33">
        <f>N34</f>
        <v>424.3</v>
      </c>
      <c r="O33">
        <v>425.26850000000002</v>
      </c>
      <c r="P33" s="76">
        <f t="shared" si="0"/>
        <v>2.2773847580998966E-3</v>
      </c>
      <c r="Q33">
        <v>0</v>
      </c>
      <c r="R33">
        <v>1</v>
      </c>
      <c r="S33">
        <v>1808</v>
      </c>
      <c r="T33" t="s">
        <v>174</v>
      </c>
      <c r="U33" t="s">
        <v>302</v>
      </c>
      <c r="V33" s="2">
        <v>46109.205555555556</v>
      </c>
    </row>
    <row r="34" spans="1:22">
      <c r="A34" t="s">
        <v>271</v>
      </c>
      <c r="B34" t="s">
        <v>76</v>
      </c>
      <c r="C34">
        <v>0</v>
      </c>
      <c r="D34">
        <v>0</v>
      </c>
      <c r="E34">
        <v>2</v>
      </c>
      <c r="F34">
        <v>25</v>
      </c>
      <c r="G34">
        <v>27</v>
      </c>
      <c r="H34">
        <v>4</v>
      </c>
      <c r="I34">
        <v>200</v>
      </c>
      <c r="J34">
        <v>0</v>
      </c>
      <c r="K34" t="s">
        <v>1</v>
      </c>
      <c r="L34">
        <v>1201.3897999999999</v>
      </c>
      <c r="M34">
        <v>246.2748</v>
      </c>
      <c r="N34">
        <f>N35</f>
        <v>424.3</v>
      </c>
      <c r="O34">
        <v>425.26850000000002</v>
      </c>
      <c r="P34" s="76">
        <f t="shared" si="0"/>
        <v>2.2773847580998966E-3</v>
      </c>
      <c r="Q34">
        <v>0</v>
      </c>
      <c r="R34">
        <v>1</v>
      </c>
      <c r="S34">
        <v>1976</v>
      </c>
      <c r="T34" t="s">
        <v>174</v>
      </c>
      <c r="U34" t="s">
        <v>301</v>
      </c>
      <c r="V34" s="2">
        <v>46109.208333333336</v>
      </c>
    </row>
    <row r="35" spans="1:22">
      <c r="A35" t="s">
        <v>273</v>
      </c>
      <c r="B35" t="s">
        <v>76</v>
      </c>
      <c r="C35">
        <v>0</v>
      </c>
      <c r="D35">
        <v>0</v>
      </c>
      <c r="E35">
        <v>3</v>
      </c>
      <c r="F35">
        <v>25</v>
      </c>
      <c r="G35">
        <v>27</v>
      </c>
      <c r="H35">
        <v>4</v>
      </c>
      <c r="I35">
        <v>200</v>
      </c>
      <c r="J35">
        <v>0</v>
      </c>
      <c r="K35" t="s">
        <v>1</v>
      </c>
      <c r="L35">
        <v>1201.3897999999999</v>
      </c>
      <c r="M35">
        <v>115.3156</v>
      </c>
      <c r="N35">
        <f>N36</f>
        <v>424.3</v>
      </c>
      <c r="O35">
        <v>431.12639999999999</v>
      </c>
      <c r="P35" s="76">
        <f t="shared" si="0"/>
        <v>1.583387145857915E-2</v>
      </c>
      <c r="Q35">
        <v>0</v>
      </c>
      <c r="R35">
        <v>193</v>
      </c>
      <c r="S35">
        <v>2296</v>
      </c>
      <c r="T35" t="s">
        <v>174</v>
      </c>
      <c r="U35" t="s">
        <v>303</v>
      </c>
      <c r="V35" s="2">
        <v>46109.209722222222</v>
      </c>
    </row>
    <row r="36" spans="1:22">
      <c r="A36" t="s">
        <v>275</v>
      </c>
      <c r="B36" t="s">
        <v>76</v>
      </c>
      <c r="C36">
        <v>0</v>
      </c>
      <c r="D36">
        <v>0</v>
      </c>
      <c r="E36">
        <v>22</v>
      </c>
      <c r="F36">
        <v>25</v>
      </c>
      <c r="G36">
        <v>27</v>
      </c>
      <c r="H36">
        <v>4</v>
      </c>
      <c r="I36">
        <v>200</v>
      </c>
      <c r="J36">
        <v>0</v>
      </c>
      <c r="K36" t="s">
        <v>1</v>
      </c>
      <c r="L36">
        <v>1201.3897999999999</v>
      </c>
      <c r="M36">
        <v>443.10219999999998</v>
      </c>
      <c r="N36">
        <f>N92</f>
        <v>424.3</v>
      </c>
      <c r="O36">
        <v>425.26850000000002</v>
      </c>
      <c r="P36" s="76">
        <f t="shared" si="0"/>
        <v>2.2773847580998966E-3</v>
      </c>
      <c r="Q36">
        <v>0</v>
      </c>
      <c r="R36">
        <v>1</v>
      </c>
      <c r="S36">
        <v>472</v>
      </c>
      <c r="T36" t="s">
        <v>174</v>
      </c>
      <c r="U36" t="s">
        <v>304</v>
      </c>
      <c r="V36" s="2">
        <v>46109.214583333334</v>
      </c>
    </row>
    <row r="37" spans="1:22">
      <c r="A37" t="s">
        <v>266</v>
      </c>
      <c r="B37" t="s">
        <v>77</v>
      </c>
      <c r="C37">
        <v>0</v>
      </c>
      <c r="D37">
        <v>0</v>
      </c>
      <c r="E37">
        <v>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1201.4456</v>
      </c>
      <c r="M37">
        <v>3618.3218999999999</v>
      </c>
      <c r="N37">
        <f>N38</f>
        <v>397.3</v>
      </c>
      <c r="O37">
        <v>418.35570000000001</v>
      </c>
      <c r="P37" s="76">
        <f t="shared" si="0"/>
        <v>5.0329659665208339E-2</v>
      </c>
      <c r="Q37">
        <v>0</v>
      </c>
      <c r="R37">
        <v>212</v>
      </c>
      <c r="S37">
        <v>5284</v>
      </c>
      <c r="T37" t="s">
        <v>177</v>
      </c>
      <c r="U37" t="s">
        <v>305</v>
      </c>
      <c r="V37" s="2">
        <v>46109.270138888889</v>
      </c>
    </row>
    <row r="38" spans="1:22">
      <c r="A38" t="s">
        <v>269</v>
      </c>
      <c r="B38" t="s">
        <v>77</v>
      </c>
      <c r="C38">
        <v>0</v>
      </c>
      <c r="D38">
        <v>0</v>
      </c>
      <c r="E38">
        <v>1</v>
      </c>
      <c r="F38">
        <v>25</v>
      </c>
      <c r="G38">
        <v>27</v>
      </c>
      <c r="H38">
        <v>4</v>
      </c>
      <c r="I38">
        <v>200</v>
      </c>
      <c r="J38">
        <v>0</v>
      </c>
      <c r="K38" t="s">
        <v>1</v>
      </c>
      <c r="L38">
        <v>1201.4456</v>
      </c>
      <c r="M38">
        <v>426.5231</v>
      </c>
      <c r="N38">
        <f>N39</f>
        <v>397.3</v>
      </c>
      <c r="O38">
        <v>398.29469999999998</v>
      </c>
      <c r="P38" s="76">
        <f t="shared" si="0"/>
        <v>2.4973970278790209E-3</v>
      </c>
      <c r="Q38">
        <v>1</v>
      </c>
      <c r="R38">
        <v>9</v>
      </c>
      <c r="S38">
        <v>2032</v>
      </c>
      <c r="T38" t="s">
        <v>177</v>
      </c>
      <c r="U38" t="s">
        <v>306</v>
      </c>
      <c r="V38" s="2">
        <v>46109.275000000001</v>
      </c>
    </row>
    <row r="39" spans="1:22">
      <c r="A39" t="s">
        <v>271</v>
      </c>
      <c r="B39" t="s">
        <v>77</v>
      </c>
      <c r="C39">
        <v>0</v>
      </c>
      <c r="D39">
        <v>0</v>
      </c>
      <c r="E39">
        <v>2</v>
      </c>
      <c r="F39">
        <v>25</v>
      </c>
      <c r="G39">
        <v>27</v>
      </c>
      <c r="H39">
        <v>4</v>
      </c>
      <c r="I39">
        <v>200</v>
      </c>
      <c r="J39">
        <v>0</v>
      </c>
      <c r="K39" t="s">
        <v>1</v>
      </c>
      <c r="L39">
        <v>1201.4456</v>
      </c>
      <c r="M39">
        <v>1033.4836</v>
      </c>
      <c r="N39">
        <f>N40</f>
        <v>397.3</v>
      </c>
      <c r="O39">
        <v>398.29469999999998</v>
      </c>
      <c r="P39" s="76">
        <f t="shared" si="0"/>
        <v>2.4973970278790209E-3</v>
      </c>
      <c r="Q39">
        <v>1</v>
      </c>
      <c r="R39">
        <v>95</v>
      </c>
      <c r="S39">
        <v>2328</v>
      </c>
      <c r="T39" t="s">
        <v>177</v>
      </c>
      <c r="U39" t="s">
        <v>307</v>
      </c>
      <c r="V39" s="2">
        <v>46109.287499999999</v>
      </c>
    </row>
    <row r="40" spans="1:22">
      <c r="A40" t="s">
        <v>273</v>
      </c>
      <c r="B40" t="s">
        <v>77</v>
      </c>
      <c r="C40">
        <v>0</v>
      </c>
      <c r="D40">
        <v>0</v>
      </c>
      <c r="E40">
        <v>3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1201.4456</v>
      </c>
      <c r="M40">
        <v>170.82660000000001</v>
      </c>
      <c r="N40">
        <f>N41</f>
        <v>397.3</v>
      </c>
      <c r="O40">
        <v>412.68130000000002</v>
      </c>
      <c r="P40" s="76">
        <f t="shared" si="0"/>
        <v>3.727161855892188E-2</v>
      </c>
      <c r="Q40">
        <v>0</v>
      </c>
      <c r="R40">
        <v>227</v>
      </c>
      <c r="S40">
        <v>2972</v>
      </c>
      <c r="T40" t="s">
        <v>177</v>
      </c>
      <c r="U40" t="s">
        <v>308</v>
      </c>
      <c r="V40" s="2">
        <v>46109.289583333331</v>
      </c>
    </row>
    <row r="41" spans="1:22">
      <c r="A41" t="s">
        <v>275</v>
      </c>
      <c r="B41" t="s">
        <v>77</v>
      </c>
      <c r="C41">
        <v>0</v>
      </c>
      <c r="D41">
        <v>0</v>
      </c>
      <c r="E41">
        <v>22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1201.4456</v>
      </c>
      <c r="M41">
        <v>3603.5279</v>
      </c>
      <c r="N41">
        <f>N93</f>
        <v>397.3</v>
      </c>
      <c r="O41">
        <v>413.99369999999999</v>
      </c>
      <c r="P41" s="76">
        <f t="shared" si="0"/>
        <v>4.0323560479301926E-2</v>
      </c>
      <c r="Q41">
        <v>0</v>
      </c>
      <c r="R41">
        <v>469</v>
      </c>
      <c r="S41">
        <v>1976</v>
      </c>
      <c r="T41" t="s">
        <v>177</v>
      </c>
      <c r="U41" t="s">
        <v>309</v>
      </c>
      <c r="V41" s="2">
        <v>46109.331250000003</v>
      </c>
    </row>
    <row r="42" spans="1:22">
      <c r="A42" t="s">
        <v>266</v>
      </c>
      <c r="B42" t="s">
        <v>78</v>
      </c>
      <c r="C42">
        <v>0</v>
      </c>
      <c r="D42">
        <v>0</v>
      </c>
      <c r="E42">
        <v>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80.721000000000004</v>
      </c>
      <c r="M42">
        <v>128.85300000000001</v>
      </c>
      <c r="N42">
        <f>N43</f>
        <v>441.3</v>
      </c>
      <c r="O42">
        <v>442.62520000000001</v>
      </c>
      <c r="P42" s="76">
        <f t="shared" si="0"/>
        <v>2.9939551566426749E-3</v>
      </c>
      <c r="Q42">
        <v>1</v>
      </c>
      <c r="R42">
        <v>1</v>
      </c>
      <c r="S42">
        <v>1495</v>
      </c>
      <c r="T42" t="s">
        <v>17</v>
      </c>
      <c r="U42" t="s">
        <v>310</v>
      </c>
      <c r="V42" s="2">
        <v>46109.333333333336</v>
      </c>
    </row>
    <row r="43" spans="1:22">
      <c r="A43" t="s">
        <v>269</v>
      </c>
      <c r="B43" t="s">
        <v>78</v>
      </c>
      <c r="C43">
        <v>0</v>
      </c>
      <c r="D43">
        <v>0</v>
      </c>
      <c r="E43">
        <v>1</v>
      </c>
      <c r="F43">
        <v>25</v>
      </c>
      <c r="G43">
        <v>27</v>
      </c>
      <c r="H43">
        <v>5</v>
      </c>
      <c r="I43">
        <v>200</v>
      </c>
      <c r="J43">
        <v>0</v>
      </c>
      <c r="K43" t="s">
        <v>1</v>
      </c>
      <c r="L43">
        <v>80.721000000000004</v>
      </c>
      <c r="M43">
        <v>93.267700000000005</v>
      </c>
      <c r="N43">
        <f>N44</f>
        <v>441.3</v>
      </c>
      <c r="O43">
        <v>442.62520000000001</v>
      </c>
      <c r="P43" s="76">
        <f t="shared" si="0"/>
        <v>2.9939551566426749E-3</v>
      </c>
      <c r="Q43">
        <v>1</v>
      </c>
      <c r="R43">
        <v>1</v>
      </c>
      <c r="S43">
        <v>1465</v>
      </c>
      <c r="T43" t="s">
        <v>17</v>
      </c>
      <c r="U43" t="s">
        <v>311</v>
      </c>
      <c r="V43" s="2">
        <v>46109.334722222222</v>
      </c>
    </row>
    <row r="44" spans="1:22">
      <c r="A44" t="s">
        <v>271</v>
      </c>
      <c r="B44" t="s">
        <v>78</v>
      </c>
      <c r="C44">
        <v>0</v>
      </c>
      <c r="D44">
        <v>0</v>
      </c>
      <c r="E44">
        <v>2</v>
      </c>
      <c r="F44">
        <v>25</v>
      </c>
      <c r="G44">
        <v>27</v>
      </c>
      <c r="H44">
        <v>5</v>
      </c>
      <c r="I44">
        <v>200</v>
      </c>
      <c r="J44">
        <v>0</v>
      </c>
      <c r="K44" t="s">
        <v>1</v>
      </c>
      <c r="L44">
        <v>80.721000000000004</v>
      </c>
      <c r="M44">
        <v>111.8622</v>
      </c>
      <c r="N44">
        <f>N45</f>
        <v>441.3</v>
      </c>
      <c r="O44">
        <v>442.62520000000001</v>
      </c>
      <c r="P44" s="76">
        <f t="shared" si="0"/>
        <v>2.9939551566426749E-3</v>
      </c>
      <c r="Q44">
        <v>1</v>
      </c>
      <c r="R44">
        <v>1</v>
      </c>
      <c r="S44">
        <v>1470</v>
      </c>
      <c r="T44" t="s">
        <v>17</v>
      </c>
      <c r="U44" t="s">
        <v>312</v>
      </c>
      <c r="V44" s="2">
        <v>46109.336111111108</v>
      </c>
    </row>
    <row r="45" spans="1:22">
      <c r="A45" t="s">
        <v>273</v>
      </c>
      <c r="B45" t="s">
        <v>78</v>
      </c>
      <c r="C45">
        <v>0</v>
      </c>
      <c r="D45">
        <v>0</v>
      </c>
      <c r="E45">
        <v>3</v>
      </c>
      <c r="F45">
        <v>25</v>
      </c>
      <c r="G45">
        <v>27</v>
      </c>
      <c r="H45">
        <v>5</v>
      </c>
      <c r="I45">
        <v>200</v>
      </c>
      <c r="J45">
        <v>0</v>
      </c>
      <c r="K45" t="s">
        <v>1</v>
      </c>
      <c r="L45">
        <v>80.721000000000004</v>
      </c>
      <c r="M45">
        <v>4.5376000000000003</v>
      </c>
      <c r="N45">
        <f>N46</f>
        <v>441.3</v>
      </c>
      <c r="O45">
        <v>474.33210000000003</v>
      </c>
      <c r="P45" s="76">
        <f t="shared" si="0"/>
        <v>6.9639183179886016E-2</v>
      </c>
      <c r="Q45">
        <v>0</v>
      </c>
      <c r="R45">
        <v>1</v>
      </c>
      <c r="S45">
        <v>1205</v>
      </c>
      <c r="T45" t="s">
        <v>17</v>
      </c>
      <c r="U45" t="s">
        <v>313</v>
      </c>
      <c r="V45" s="2">
        <v>46109.336111111108</v>
      </c>
    </row>
    <row r="46" spans="1:22">
      <c r="A46" t="s">
        <v>275</v>
      </c>
      <c r="B46" t="s">
        <v>78</v>
      </c>
      <c r="C46">
        <v>0</v>
      </c>
      <c r="D46">
        <v>0</v>
      </c>
      <c r="E46">
        <v>22</v>
      </c>
      <c r="F46">
        <v>25</v>
      </c>
      <c r="G46">
        <v>27</v>
      </c>
      <c r="H46">
        <v>5</v>
      </c>
      <c r="I46">
        <v>200</v>
      </c>
      <c r="J46">
        <v>0</v>
      </c>
      <c r="K46" t="s">
        <v>1</v>
      </c>
      <c r="L46">
        <v>80.721000000000004</v>
      </c>
      <c r="M46">
        <v>350.23110000000003</v>
      </c>
      <c r="N46">
        <f>N94</f>
        <v>441.3</v>
      </c>
      <c r="O46">
        <v>442.62520000000001</v>
      </c>
      <c r="P46" s="76">
        <f t="shared" si="0"/>
        <v>2.9939551566426749E-3</v>
      </c>
      <c r="Q46">
        <v>1</v>
      </c>
      <c r="R46">
        <v>1</v>
      </c>
      <c r="S46">
        <v>515</v>
      </c>
      <c r="T46" t="s">
        <v>17</v>
      </c>
      <c r="U46" t="s">
        <v>314</v>
      </c>
      <c r="V46" s="2">
        <v>46109.339583333334</v>
      </c>
    </row>
    <row r="47" spans="1:22">
      <c r="A47" t="s">
        <v>266</v>
      </c>
      <c r="B47" t="s">
        <v>79</v>
      </c>
      <c r="C47">
        <v>0</v>
      </c>
      <c r="D47">
        <v>0</v>
      </c>
      <c r="E47">
        <v>0</v>
      </c>
      <c r="F47">
        <v>25</v>
      </c>
      <c r="G47">
        <v>27</v>
      </c>
      <c r="H47">
        <v>4</v>
      </c>
      <c r="I47">
        <v>200</v>
      </c>
      <c r="J47">
        <v>0</v>
      </c>
      <c r="K47" t="s">
        <v>1</v>
      </c>
      <c r="L47">
        <v>1201.6729</v>
      </c>
      <c r="M47">
        <v>1171.8680999999999</v>
      </c>
      <c r="N47">
        <f>N48</f>
        <v>444.8</v>
      </c>
      <c r="O47">
        <v>445.87220000000002</v>
      </c>
      <c r="P47" s="76">
        <f t="shared" si="0"/>
        <v>2.4047249413621423E-3</v>
      </c>
      <c r="R47">
        <v>129</v>
      </c>
      <c r="S47">
        <v>1704</v>
      </c>
      <c r="T47" t="s">
        <v>8</v>
      </c>
      <c r="U47" t="s">
        <v>315</v>
      </c>
      <c r="V47" s="2">
        <v>46109.367361111108</v>
      </c>
    </row>
    <row r="48" spans="1:22">
      <c r="A48" t="s">
        <v>269</v>
      </c>
      <c r="B48" t="s">
        <v>79</v>
      </c>
      <c r="C48">
        <v>0</v>
      </c>
      <c r="D48">
        <v>0</v>
      </c>
      <c r="E48">
        <v>1</v>
      </c>
      <c r="F48">
        <v>25</v>
      </c>
      <c r="G48">
        <v>27</v>
      </c>
      <c r="H48">
        <v>4</v>
      </c>
      <c r="I48">
        <v>200</v>
      </c>
      <c r="J48">
        <v>0</v>
      </c>
      <c r="K48" t="s">
        <v>1</v>
      </c>
      <c r="L48">
        <v>1201.6729</v>
      </c>
      <c r="M48">
        <v>484.53980000000001</v>
      </c>
      <c r="N48">
        <f>N49</f>
        <v>444.8</v>
      </c>
      <c r="O48">
        <v>445.87220000000002</v>
      </c>
      <c r="P48" s="76">
        <f t="shared" si="0"/>
        <v>2.4047249413621423E-3</v>
      </c>
      <c r="R48">
        <v>99</v>
      </c>
      <c r="S48">
        <v>1744</v>
      </c>
      <c r="T48" t="s">
        <v>8</v>
      </c>
      <c r="U48" t="s">
        <v>316</v>
      </c>
      <c r="V48" s="2">
        <v>46109.372916666667</v>
      </c>
    </row>
    <row r="49" spans="1:22">
      <c r="A49" t="s">
        <v>271</v>
      </c>
      <c r="B49" t="s">
        <v>79</v>
      </c>
      <c r="C49">
        <v>0</v>
      </c>
      <c r="D49">
        <v>0</v>
      </c>
      <c r="E49">
        <v>2</v>
      </c>
      <c r="F49">
        <v>25</v>
      </c>
      <c r="G49">
        <v>27</v>
      </c>
      <c r="H49">
        <v>4</v>
      </c>
      <c r="I49">
        <v>200</v>
      </c>
      <c r="J49">
        <v>0</v>
      </c>
      <c r="K49" t="s">
        <v>1</v>
      </c>
      <c r="L49">
        <v>1201.6729</v>
      </c>
      <c r="M49">
        <v>952.60149999999999</v>
      </c>
      <c r="N49">
        <f>N51</f>
        <v>444.8</v>
      </c>
      <c r="O49">
        <v>445.87220000000002</v>
      </c>
      <c r="P49" s="76">
        <f t="shared" si="0"/>
        <v>2.4047249413621423E-3</v>
      </c>
      <c r="R49">
        <v>131</v>
      </c>
      <c r="S49">
        <v>2424</v>
      </c>
      <c r="T49" t="s">
        <v>8</v>
      </c>
      <c r="U49" t="s">
        <v>19</v>
      </c>
      <c r="V49" s="2">
        <v>46109.384027777778</v>
      </c>
    </row>
    <row r="50" spans="1:22">
      <c r="A50" t="s">
        <v>273</v>
      </c>
      <c r="B50" t="s">
        <v>79</v>
      </c>
      <c r="C50">
        <v>0</v>
      </c>
      <c r="D50">
        <v>0</v>
      </c>
      <c r="E50">
        <v>3</v>
      </c>
      <c r="F50">
        <v>25</v>
      </c>
      <c r="G50">
        <v>27</v>
      </c>
      <c r="H50">
        <v>4</v>
      </c>
      <c r="I50">
        <v>200</v>
      </c>
      <c r="J50">
        <v>0</v>
      </c>
      <c r="K50" t="s">
        <v>1</v>
      </c>
      <c r="L50">
        <v>1201.6729</v>
      </c>
      <c r="M50">
        <v>285.8956</v>
      </c>
      <c r="N50">
        <f>N51</f>
        <v>444.8</v>
      </c>
      <c r="O50">
        <v>463.75439999999998</v>
      </c>
      <c r="P50" s="76">
        <f t="shared" si="0"/>
        <v>4.0871633778568929E-2</v>
      </c>
      <c r="R50">
        <v>641</v>
      </c>
      <c r="S50">
        <v>3308</v>
      </c>
      <c r="T50" t="s">
        <v>8</v>
      </c>
      <c r="U50" t="s">
        <v>317</v>
      </c>
      <c r="V50" s="2">
        <v>46109.387499999997</v>
      </c>
    </row>
    <row r="51" spans="1:22">
      <c r="A51" t="s">
        <v>275</v>
      </c>
      <c r="B51" t="s">
        <v>79</v>
      </c>
      <c r="C51">
        <v>0</v>
      </c>
      <c r="D51">
        <v>0</v>
      </c>
      <c r="E51">
        <v>22</v>
      </c>
      <c r="F51">
        <v>25</v>
      </c>
      <c r="G51">
        <v>27</v>
      </c>
      <c r="H51">
        <v>4</v>
      </c>
      <c r="I51">
        <v>200</v>
      </c>
      <c r="J51">
        <v>0</v>
      </c>
      <c r="K51" t="s">
        <v>1</v>
      </c>
      <c r="L51">
        <v>1201.6729</v>
      </c>
      <c r="M51">
        <v>3602.4666000000002</v>
      </c>
      <c r="N51">
        <f>N95</f>
        <v>444.8</v>
      </c>
      <c r="O51">
        <v>445.87220000000002</v>
      </c>
      <c r="P51" s="76">
        <f t="shared" si="0"/>
        <v>2.4047249413621423E-3</v>
      </c>
      <c r="R51">
        <v>989</v>
      </c>
      <c r="S51">
        <v>908</v>
      </c>
      <c r="T51" t="s">
        <v>8</v>
      </c>
      <c r="U51" t="s">
        <v>318</v>
      </c>
      <c r="V51" s="2">
        <v>46109.429166666669</v>
      </c>
    </row>
    <row r="52" spans="1:22">
      <c r="A52" t="s">
        <v>266</v>
      </c>
      <c r="B52" t="s">
        <v>80</v>
      </c>
      <c r="C52">
        <v>0</v>
      </c>
      <c r="D52">
        <v>0</v>
      </c>
      <c r="E52">
        <v>0</v>
      </c>
      <c r="F52">
        <v>25</v>
      </c>
      <c r="G52">
        <v>27</v>
      </c>
      <c r="H52">
        <v>4</v>
      </c>
      <c r="I52">
        <v>200</v>
      </c>
      <c r="J52">
        <v>0</v>
      </c>
      <c r="K52" t="s">
        <v>1</v>
      </c>
      <c r="L52">
        <v>1201.3062</v>
      </c>
      <c r="M52">
        <v>491.49450000000002</v>
      </c>
      <c r="N52">
        <f>N53</f>
        <v>428.8</v>
      </c>
      <c r="O52">
        <v>429.6968</v>
      </c>
      <c r="P52" s="76">
        <f t="shared" si="0"/>
        <v>2.0870530104017174E-3</v>
      </c>
      <c r="Q52">
        <v>0</v>
      </c>
      <c r="R52">
        <v>33</v>
      </c>
      <c r="S52">
        <v>1356</v>
      </c>
      <c r="T52" t="s">
        <v>186</v>
      </c>
      <c r="U52" t="s">
        <v>20</v>
      </c>
      <c r="V52" s="2">
        <v>46109.448611111111</v>
      </c>
    </row>
    <row r="53" spans="1:22">
      <c r="A53" t="s">
        <v>269</v>
      </c>
      <c r="B53" t="s">
        <v>80</v>
      </c>
      <c r="C53">
        <v>0</v>
      </c>
      <c r="D53">
        <v>0</v>
      </c>
      <c r="E53">
        <v>1</v>
      </c>
      <c r="F53">
        <v>25</v>
      </c>
      <c r="G53">
        <v>27</v>
      </c>
      <c r="H53">
        <v>4</v>
      </c>
      <c r="I53">
        <v>200</v>
      </c>
      <c r="J53">
        <v>0</v>
      </c>
      <c r="K53" t="s">
        <v>1</v>
      </c>
      <c r="L53">
        <v>1201.3062</v>
      </c>
      <c r="M53">
        <v>294.95929999999998</v>
      </c>
      <c r="N53">
        <f>N54</f>
        <v>428.8</v>
      </c>
      <c r="O53">
        <v>429.6968</v>
      </c>
      <c r="P53" s="76">
        <f t="shared" si="0"/>
        <v>2.0870530104017174E-3</v>
      </c>
      <c r="Q53">
        <v>0</v>
      </c>
      <c r="R53">
        <v>23</v>
      </c>
      <c r="S53">
        <v>1972</v>
      </c>
      <c r="T53" t="s">
        <v>186</v>
      </c>
      <c r="U53" t="s">
        <v>319</v>
      </c>
      <c r="V53" s="2">
        <v>46109.45208333333</v>
      </c>
    </row>
    <row r="54" spans="1:22">
      <c r="A54" t="s">
        <v>271</v>
      </c>
      <c r="B54" t="s">
        <v>80</v>
      </c>
      <c r="C54">
        <v>0</v>
      </c>
      <c r="D54">
        <v>0</v>
      </c>
      <c r="E54">
        <v>2</v>
      </c>
      <c r="F54">
        <v>25</v>
      </c>
      <c r="G54">
        <v>27</v>
      </c>
      <c r="H54">
        <v>4</v>
      </c>
      <c r="I54">
        <v>200</v>
      </c>
      <c r="J54">
        <v>0</v>
      </c>
      <c r="K54" t="s">
        <v>1</v>
      </c>
      <c r="L54">
        <v>1201.3062</v>
      </c>
      <c r="M54">
        <v>347.7278</v>
      </c>
      <c r="N54">
        <f>N55</f>
        <v>428.8</v>
      </c>
      <c r="O54">
        <v>429.6968</v>
      </c>
      <c r="P54" s="76">
        <f t="shared" si="0"/>
        <v>2.0870530104017174E-3</v>
      </c>
      <c r="Q54">
        <v>0</v>
      </c>
      <c r="R54">
        <v>23</v>
      </c>
      <c r="S54">
        <v>1864</v>
      </c>
      <c r="T54" t="s">
        <v>186</v>
      </c>
      <c r="U54" t="s">
        <v>320</v>
      </c>
      <c r="V54" s="2">
        <v>46109.456250000003</v>
      </c>
    </row>
    <row r="55" spans="1:22">
      <c r="A55" t="s">
        <v>273</v>
      </c>
      <c r="B55" t="s">
        <v>80</v>
      </c>
      <c r="C55">
        <v>0</v>
      </c>
      <c r="D55">
        <v>0</v>
      </c>
      <c r="E55">
        <v>3</v>
      </c>
      <c r="F55">
        <v>25</v>
      </c>
      <c r="G55">
        <v>27</v>
      </c>
      <c r="H55">
        <v>4</v>
      </c>
      <c r="I55">
        <v>200</v>
      </c>
      <c r="J55">
        <v>0</v>
      </c>
      <c r="K55" t="s">
        <v>1</v>
      </c>
      <c r="L55">
        <v>1201.3062</v>
      </c>
      <c r="M55">
        <v>284.09190000000001</v>
      </c>
      <c r="N55">
        <f>N56</f>
        <v>428.8</v>
      </c>
      <c r="O55">
        <v>445.80369999999999</v>
      </c>
      <c r="P55" s="76">
        <f t="shared" si="0"/>
        <v>3.814167536070244E-2</v>
      </c>
      <c r="Q55">
        <v>0</v>
      </c>
      <c r="R55">
        <v>309</v>
      </c>
      <c r="S55">
        <v>4940</v>
      </c>
      <c r="T55" t="s">
        <v>186</v>
      </c>
      <c r="U55" t="s">
        <v>321</v>
      </c>
      <c r="V55" s="2">
        <v>46109.459027777775</v>
      </c>
    </row>
    <row r="56" spans="1:22">
      <c r="A56" t="s">
        <v>275</v>
      </c>
      <c r="B56" t="s">
        <v>80</v>
      </c>
      <c r="C56">
        <v>0</v>
      </c>
      <c r="D56">
        <v>0</v>
      </c>
      <c r="E56">
        <v>22</v>
      </c>
      <c r="F56">
        <v>25</v>
      </c>
      <c r="G56">
        <v>27</v>
      </c>
      <c r="H56">
        <v>4</v>
      </c>
      <c r="I56">
        <v>200</v>
      </c>
      <c r="J56">
        <v>0</v>
      </c>
      <c r="K56" t="s">
        <v>1</v>
      </c>
      <c r="L56">
        <v>1201.3062</v>
      </c>
      <c r="M56">
        <v>710.84969999999998</v>
      </c>
      <c r="N56">
        <f>N96</f>
        <v>428.8</v>
      </c>
      <c r="O56">
        <v>429.6968</v>
      </c>
      <c r="P56" s="76">
        <f t="shared" si="0"/>
        <v>2.0870530104017174E-3</v>
      </c>
      <c r="Q56">
        <v>0</v>
      </c>
      <c r="R56">
        <v>35</v>
      </c>
      <c r="S56">
        <v>604</v>
      </c>
      <c r="T56" t="s">
        <v>186</v>
      </c>
      <c r="U56" t="s">
        <v>322</v>
      </c>
      <c r="V56" s="2">
        <v>46109.467361111114</v>
      </c>
    </row>
    <row r="57" spans="1:22">
      <c r="A57" t="s">
        <v>266</v>
      </c>
      <c r="B57" t="s">
        <v>71</v>
      </c>
      <c r="C57">
        <v>0</v>
      </c>
      <c r="D57">
        <v>0</v>
      </c>
      <c r="E57">
        <v>0</v>
      </c>
      <c r="F57">
        <v>25</v>
      </c>
      <c r="G57">
        <v>27</v>
      </c>
      <c r="H57">
        <v>4</v>
      </c>
      <c r="I57">
        <v>200</v>
      </c>
      <c r="J57">
        <v>0</v>
      </c>
      <c r="K57" t="s">
        <v>1</v>
      </c>
      <c r="L57">
        <v>1201.2570000000001</v>
      </c>
      <c r="M57">
        <v>2295.7177999999999</v>
      </c>
      <c r="N57">
        <v>394.10129999999998</v>
      </c>
      <c r="O57">
        <v>396.98379999999997</v>
      </c>
      <c r="P57" s="76">
        <f t="shared" si="0"/>
        <v>7.2610015824323146E-3</v>
      </c>
      <c r="Q57">
        <v>0</v>
      </c>
      <c r="R57">
        <v>489</v>
      </c>
      <c r="S57">
        <v>2204</v>
      </c>
      <c r="T57" t="s">
        <v>21</v>
      </c>
      <c r="U57" t="s">
        <v>323</v>
      </c>
      <c r="V57" s="2">
        <v>46109.508333333331</v>
      </c>
    </row>
    <row r="58" spans="1:22">
      <c r="A58" t="s">
        <v>269</v>
      </c>
      <c r="B58" t="s">
        <v>71</v>
      </c>
      <c r="C58">
        <v>0</v>
      </c>
      <c r="D58">
        <v>0</v>
      </c>
      <c r="E58">
        <v>1</v>
      </c>
      <c r="F58">
        <v>25</v>
      </c>
      <c r="G58">
        <v>27</v>
      </c>
      <c r="H58">
        <v>4</v>
      </c>
      <c r="I58">
        <v>200</v>
      </c>
      <c r="J58">
        <v>0</v>
      </c>
      <c r="K58" t="s">
        <v>1</v>
      </c>
      <c r="L58">
        <v>1201.2570000000001</v>
      </c>
      <c r="M58">
        <v>2191.9139</v>
      </c>
      <c r="N58">
        <v>394.10129999999998</v>
      </c>
      <c r="O58">
        <v>396.98379999999997</v>
      </c>
      <c r="P58" s="76">
        <f t="shared" si="0"/>
        <v>7.2610015824323146E-3</v>
      </c>
      <c r="Q58">
        <v>0</v>
      </c>
      <c r="R58">
        <v>293</v>
      </c>
      <c r="S58">
        <v>2900</v>
      </c>
      <c r="T58" t="s">
        <v>21</v>
      </c>
      <c r="U58" t="s">
        <v>324</v>
      </c>
      <c r="V58" s="2">
        <v>46109.533333333333</v>
      </c>
    </row>
    <row r="59" spans="1:22">
      <c r="A59" t="s">
        <v>271</v>
      </c>
      <c r="B59" t="s">
        <v>71</v>
      </c>
      <c r="C59">
        <v>0</v>
      </c>
      <c r="D59">
        <v>0</v>
      </c>
      <c r="E59">
        <v>2</v>
      </c>
      <c r="F59">
        <v>25</v>
      </c>
      <c r="G59">
        <v>27</v>
      </c>
      <c r="H59">
        <v>4</v>
      </c>
      <c r="I59">
        <v>200</v>
      </c>
      <c r="J59">
        <v>0</v>
      </c>
      <c r="K59" t="s">
        <v>1</v>
      </c>
      <c r="L59">
        <v>1201.2570000000001</v>
      </c>
      <c r="M59">
        <v>1488.6919</v>
      </c>
      <c r="N59">
        <v>394.10129999999998</v>
      </c>
      <c r="O59">
        <v>394.10129999999998</v>
      </c>
      <c r="P59" s="76">
        <f t="shared" si="0"/>
        <v>0</v>
      </c>
      <c r="Q59">
        <v>1</v>
      </c>
      <c r="R59">
        <v>147</v>
      </c>
      <c r="S59">
        <v>2548</v>
      </c>
      <c r="T59" t="s">
        <v>21</v>
      </c>
      <c r="U59" t="s">
        <v>325</v>
      </c>
      <c r="V59" s="2">
        <v>46109.550694444442</v>
      </c>
    </row>
    <row r="60" spans="1:22">
      <c r="A60" t="s">
        <v>273</v>
      </c>
      <c r="B60" t="s">
        <v>71</v>
      </c>
      <c r="C60">
        <v>0</v>
      </c>
      <c r="D60">
        <v>0</v>
      </c>
      <c r="E60">
        <v>3</v>
      </c>
      <c r="F60">
        <v>25</v>
      </c>
      <c r="G60">
        <v>27</v>
      </c>
      <c r="H60">
        <v>4</v>
      </c>
      <c r="I60">
        <v>200</v>
      </c>
      <c r="J60">
        <v>0</v>
      </c>
      <c r="K60" t="s">
        <v>1</v>
      </c>
      <c r="L60">
        <v>1201.2570000000001</v>
      </c>
      <c r="M60">
        <v>67.707400000000007</v>
      </c>
      <c r="N60">
        <v>394.10129999999998</v>
      </c>
      <c r="O60">
        <v>394.10129999999998</v>
      </c>
      <c r="P60" s="76">
        <f t="shared" si="0"/>
        <v>0</v>
      </c>
      <c r="Q60">
        <v>1</v>
      </c>
      <c r="R60">
        <v>75</v>
      </c>
      <c r="S60">
        <v>1708</v>
      </c>
      <c r="T60" t="s">
        <v>21</v>
      </c>
      <c r="U60" t="s">
        <v>325</v>
      </c>
      <c r="V60" s="2">
        <v>46109.551388888889</v>
      </c>
    </row>
    <row r="61" spans="1:22">
      <c r="A61" t="s">
        <v>275</v>
      </c>
      <c r="B61" t="s">
        <v>71</v>
      </c>
      <c r="C61">
        <v>0</v>
      </c>
      <c r="D61">
        <v>0</v>
      </c>
      <c r="E61">
        <v>22</v>
      </c>
      <c r="F61">
        <v>25</v>
      </c>
      <c r="G61">
        <v>27</v>
      </c>
      <c r="H61">
        <v>4</v>
      </c>
      <c r="I61">
        <v>200</v>
      </c>
      <c r="J61">
        <v>0</v>
      </c>
      <c r="K61" t="s">
        <v>1</v>
      </c>
      <c r="L61">
        <v>1201.2570000000001</v>
      </c>
      <c r="M61">
        <v>3601.7314000000001</v>
      </c>
      <c r="N61">
        <v>394.10129999999998</v>
      </c>
      <c r="O61">
        <f>N61</f>
        <v>394.10129999999998</v>
      </c>
      <c r="P61" s="76">
        <f t="shared" si="0"/>
        <v>0</v>
      </c>
      <c r="R61">
        <v>0</v>
      </c>
      <c r="S61">
        <v>0</v>
      </c>
      <c r="T61" t="s">
        <v>21</v>
      </c>
      <c r="U61" t="s">
        <v>28</v>
      </c>
      <c r="V61" s="2">
        <v>46109.593055555553</v>
      </c>
    </row>
    <row r="62" spans="1:22">
      <c r="A62" t="s">
        <v>266</v>
      </c>
      <c r="B62" t="s">
        <v>64</v>
      </c>
      <c r="C62">
        <v>0</v>
      </c>
      <c r="D62">
        <v>0</v>
      </c>
      <c r="E62">
        <v>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4.4667000000000003</v>
      </c>
      <c r="M62">
        <v>3605.6968000000002</v>
      </c>
      <c r="N62">
        <v>268.53250000000003</v>
      </c>
      <c r="O62">
        <v>273.78120000000001</v>
      </c>
      <c r="P62" s="76">
        <f t="shared" si="0"/>
        <v>1.9171148347658585E-2</v>
      </c>
      <c r="Q62">
        <v>0</v>
      </c>
      <c r="R62">
        <v>77</v>
      </c>
      <c r="S62">
        <v>5121</v>
      </c>
      <c r="T62" t="s">
        <v>23</v>
      </c>
      <c r="U62" t="s">
        <v>326</v>
      </c>
      <c r="V62" s="2">
        <v>46109.634722222225</v>
      </c>
    </row>
    <row r="63" spans="1:22">
      <c r="A63" t="s">
        <v>269</v>
      </c>
      <c r="B63" t="s">
        <v>64</v>
      </c>
      <c r="C63">
        <v>0</v>
      </c>
      <c r="D63">
        <v>0</v>
      </c>
      <c r="E63">
        <v>1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4.4667000000000003</v>
      </c>
      <c r="M63">
        <v>3521.4807999999998</v>
      </c>
      <c r="N63">
        <v>268.53250000000003</v>
      </c>
      <c r="O63">
        <v>268.85309999999998</v>
      </c>
      <c r="P63" s="76">
        <f t="shared" si="0"/>
        <v>1.1924727667263508E-3</v>
      </c>
      <c r="Q63">
        <v>0</v>
      </c>
      <c r="R63">
        <v>803</v>
      </c>
      <c r="S63">
        <v>3870</v>
      </c>
      <c r="T63" t="s">
        <v>23</v>
      </c>
      <c r="U63" t="s">
        <v>327</v>
      </c>
      <c r="V63" s="2">
        <v>46109.675694444442</v>
      </c>
    </row>
    <row r="64" spans="1:22">
      <c r="A64" t="s">
        <v>271</v>
      </c>
      <c r="B64" t="s">
        <v>64</v>
      </c>
      <c r="C64">
        <v>0</v>
      </c>
      <c r="D64">
        <v>0</v>
      </c>
      <c r="E64">
        <v>2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4.4667000000000003</v>
      </c>
      <c r="M64">
        <v>2583.7683999999999</v>
      </c>
      <c r="N64">
        <v>268.53250000000003</v>
      </c>
      <c r="O64">
        <v>268.85309999999998</v>
      </c>
      <c r="P64" s="76">
        <f t="shared" si="0"/>
        <v>1.1924727667263508E-3</v>
      </c>
      <c r="Q64">
        <v>0</v>
      </c>
      <c r="R64">
        <v>89</v>
      </c>
      <c r="S64">
        <v>2421</v>
      </c>
      <c r="T64" t="s">
        <v>23</v>
      </c>
      <c r="U64" t="s">
        <v>328</v>
      </c>
      <c r="V64" s="2">
        <v>46109.705555555556</v>
      </c>
    </row>
    <row r="65" spans="1:22">
      <c r="A65" t="s">
        <v>273</v>
      </c>
      <c r="B65" t="s">
        <v>64</v>
      </c>
      <c r="C65">
        <v>0</v>
      </c>
      <c r="D65">
        <v>0</v>
      </c>
      <c r="E65">
        <v>3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4.4667000000000003</v>
      </c>
      <c r="M65">
        <v>1496.4501</v>
      </c>
      <c r="N65">
        <v>268.53250000000003</v>
      </c>
      <c r="O65">
        <v>291.20870000000002</v>
      </c>
      <c r="P65" s="76">
        <f t="shared" si="0"/>
        <v>7.7869239483573091E-2</v>
      </c>
      <c r="Q65">
        <v>0</v>
      </c>
      <c r="R65">
        <v>3207</v>
      </c>
      <c r="S65">
        <v>12054</v>
      </c>
      <c r="T65" t="s">
        <v>23</v>
      </c>
      <c r="U65" t="s">
        <v>329</v>
      </c>
      <c r="V65" s="2">
        <v>46109.722916666666</v>
      </c>
    </row>
    <row r="66" spans="1:22">
      <c r="A66" t="s">
        <v>275</v>
      </c>
      <c r="B66" t="s">
        <v>64</v>
      </c>
      <c r="C66">
        <v>0</v>
      </c>
      <c r="D66">
        <v>0</v>
      </c>
      <c r="E66">
        <v>22</v>
      </c>
      <c r="F66">
        <v>25</v>
      </c>
      <c r="G66">
        <v>27</v>
      </c>
      <c r="H66">
        <v>3</v>
      </c>
      <c r="I66">
        <v>200</v>
      </c>
      <c r="J66">
        <v>0</v>
      </c>
      <c r="K66" t="s">
        <v>1</v>
      </c>
      <c r="L66">
        <v>4.4667000000000003</v>
      </c>
      <c r="M66">
        <v>3727.0758999999998</v>
      </c>
      <c r="N66">
        <v>268.53250000000003</v>
      </c>
      <c r="O66">
        <v>272.41309999999999</v>
      </c>
      <c r="P66" s="76">
        <f t="shared" si="0"/>
        <v>1.4245276750640695E-2</v>
      </c>
      <c r="Q66">
        <v>0</v>
      </c>
      <c r="R66">
        <v>64</v>
      </c>
      <c r="S66">
        <v>1431</v>
      </c>
      <c r="T66" t="s">
        <v>23</v>
      </c>
      <c r="U66" t="s">
        <v>330</v>
      </c>
      <c r="V66" s="2">
        <v>46109.765972222223</v>
      </c>
    </row>
    <row r="67" spans="1:22">
      <c r="A67" t="s">
        <v>266</v>
      </c>
      <c r="B67" t="s">
        <v>59</v>
      </c>
      <c r="C67">
        <v>0</v>
      </c>
      <c r="D67">
        <v>0</v>
      </c>
      <c r="E67">
        <v>0</v>
      </c>
      <c r="F67">
        <v>25</v>
      </c>
      <c r="G67">
        <v>27</v>
      </c>
      <c r="H67">
        <v>3</v>
      </c>
      <c r="I67">
        <v>200</v>
      </c>
      <c r="J67">
        <v>0</v>
      </c>
      <c r="K67" t="s">
        <v>1</v>
      </c>
      <c r="L67">
        <v>1202.4695999999999</v>
      </c>
      <c r="M67">
        <v>3999.3000999999999</v>
      </c>
      <c r="N67">
        <v>268.9547</v>
      </c>
      <c r="O67">
        <v>295.17599999999999</v>
      </c>
      <c r="P67" s="76">
        <f t="shared" ref="P67:P117" si="7">(O67-N67)/O67</f>
        <v>8.8832764181369719E-2</v>
      </c>
      <c r="Q67">
        <v>0</v>
      </c>
      <c r="R67">
        <v>166</v>
      </c>
      <c r="S67">
        <v>2805</v>
      </c>
      <c r="T67" t="s">
        <v>331</v>
      </c>
      <c r="U67" t="s">
        <v>332</v>
      </c>
      <c r="V67" s="2">
        <v>46109.826388888891</v>
      </c>
    </row>
    <row r="68" spans="1:22">
      <c r="A68" t="s">
        <v>269</v>
      </c>
      <c r="B68" t="s">
        <v>59</v>
      </c>
      <c r="C68">
        <v>0</v>
      </c>
      <c r="D68">
        <v>0</v>
      </c>
      <c r="E68">
        <v>1</v>
      </c>
      <c r="F68">
        <v>25</v>
      </c>
      <c r="G68">
        <v>27</v>
      </c>
      <c r="H68">
        <v>3</v>
      </c>
      <c r="I68">
        <v>200</v>
      </c>
      <c r="J68">
        <v>0</v>
      </c>
      <c r="K68" t="s">
        <v>1</v>
      </c>
      <c r="L68">
        <v>1202.4695999999999</v>
      </c>
      <c r="M68">
        <v>3663.3761</v>
      </c>
      <c r="N68">
        <v>268.9547</v>
      </c>
      <c r="O68">
        <v>316.62700000000001</v>
      </c>
      <c r="P68" s="76">
        <f t="shared" si="7"/>
        <v>0.15056296525564783</v>
      </c>
      <c r="Q68">
        <v>0</v>
      </c>
      <c r="R68">
        <v>918</v>
      </c>
      <c r="S68">
        <v>2691</v>
      </c>
      <c r="T68" t="s">
        <v>331</v>
      </c>
      <c r="U68" t="s">
        <v>333</v>
      </c>
      <c r="V68" s="2">
        <v>46109.868750000001</v>
      </c>
    </row>
    <row r="69" spans="1:22">
      <c r="A69" t="s">
        <v>271</v>
      </c>
      <c r="B69" t="s">
        <v>59</v>
      </c>
      <c r="C69">
        <v>0</v>
      </c>
      <c r="D69">
        <v>0</v>
      </c>
      <c r="E69">
        <v>2</v>
      </c>
      <c r="F69">
        <v>25</v>
      </c>
      <c r="G69">
        <v>27</v>
      </c>
      <c r="H69">
        <v>3</v>
      </c>
      <c r="I69">
        <v>200</v>
      </c>
      <c r="J69">
        <v>0</v>
      </c>
      <c r="K69" t="s">
        <v>1</v>
      </c>
      <c r="L69">
        <v>1202.4695999999999</v>
      </c>
      <c r="M69">
        <v>3703.0246000000002</v>
      </c>
      <c r="N69">
        <v>268.9547</v>
      </c>
      <c r="O69">
        <v>282.2679</v>
      </c>
      <c r="P69" s="76">
        <f t="shared" si="7"/>
        <v>4.7165122211912852E-2</v>
      </c>
      <c r="Q69">
        <v>0</v>
      </c>
      <c r="R69">
        <v>119</v>
      </c>
      <c r="S69">
        <v>1872</v>
      </c>
      <c r="T69" t="s">
        <v>331</v>
      </c>
      <c r="U69" t="s">
        <v>334</v>
      </c>
      <c r="V69" s="2">
        <v>46109.911111111112</v>
      </c>
    </row>
    <row r="70" spans="1:22">
      <c r="A70" t="s">
        <v>273</v>
      </c>
      <c r="B70" t="s">
        <v>59</v>
      </c>
      <c r="C70">
        <v>0</v>
      </c>
      <c r="D70">
        <v>0</v>
      </c>
      <c r="E70">
        <v>3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1202.4695999999999</v>
      </c>
      <c r="M70">
        <v>3633.8024999999998</v>
      </c>
      <c r="N70">
        <v>268.9547</v>
      </c>
      <c r="O70">
        <f>N70</f>
        <v>268.9547</v>
      </c>
      <c r="P70" s="76">
        <f t="shared" si="7"/>
        <v>0</v>
      </c>
      <c r="R70">
        <v>0</v>
      </c>
      <c r="S70">
        <v>0</v>
      </c>
      <c r="T70" t="s">
        <v>331</v>
      </c>
      <c r="U70" t="s">
        <v>28</v>
      </c>
      <c r="V70" s="2">
        <v>46109.953472222223</v>
      </c>
    </row>
    <row r="71" spans="1:22">
      <c r="A71" t="s">
        <v>275</v>
      </c>
      <c r="B71" t="s">
        <v>59</v>
      </c>
      <c r="C71">
        <v>0</v>
      </c>
      <c r="D71">
        <v>0</v>
      </c>
      <c r="E71">
        <v>22</v>
      </c>
      <c r="F71">
        <v>25</v>
      </c>
      <c r="G71">
        <v>27</v>
      </c>
      <c r="H71">
        <v>3</v>
      </c>
      <c r="I71">
        <v>200</v>
      </c>
      <c r="J71">
        <v>0</v>
      </c>
      <c r="K71" t="s">
        <v>1</v>
      </c>
      <c r="L71">
        <v>1202.4695999999999</v>
      </c>
      <c r="M71">
        <v>3985.5626000000002</v>
      </c>
      <c r="N71">
        <v>268.9547</v>
      </c>
      <c r="O71">
        <f>N71</f>
        <v>268.9547</v>
      </c>
      <c r="P71" s="76">
        <f t="shared" si="7"/>
        <v>0</v>
      </c>
      <c r="R71">
        <v>0</v>
      </c>
      <c r="S71">
        <v>0</v>
      </c>
      <c r="T71" t="s">
        <v>331</v>
      </c>
      <c r="U71" t="s">
        <v>28</v>
      </c>
      <c r="V71" s="2">
        <v>46109.999305555553</v>
      </c>
    </row>
    <row r="72" spans="1:22">
      <c r="A72" t="s">
        <v>266</v>
      </c>
      <c r="B72" t="s">
        <v>70</v>
      </c>
      <c r="C72">
        <v>0</v>
      </c>
      <c r="D72">
        <v>0</v>
      </c>
      <c r="E72">
        <v>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1203.2062000000001</v>
      </c>
      <c r="M72">
        <v>3610.5866999999998</v>
      </c>
      <c r="N72">
        <v>268.53250000000003</v>
      </c>
      <c r="O72">
        <v>291.3544</v>
      </c>
      <c r="P72" s="76">
        <f t="shared" si="7"/>
        <v>7.8330377025368311E-2</v>
      </c>
      <c r="Q72">
        <v>0</v>
      </c>
      <c r="R72">
        <v>2880</v>
      </c>
      <c r="S72">
        <v>1878</v>
      </c>
      <c r="T72" t="s">
        <v>199</v>
      </c>
      <c r="U72" t="s">
        <v>335</v>
      </c>
      <c r="V72" s="2">
        <v>46110.055555555555</v>
      </c>
    </row>
    <row r="73" spans="1:22">
      <c r="A73" t="s">
        <v>269</v>
      </c>
      <c r="B73" t="s">
        <v>70</v>
      </c>
      <c r="C73">
        <v>0</v>
      </c>
      <c r="D73">
        <v>0</v>
      </c>
      <c r="E73">
        <v>1</v>
      </c>
      <c r="F73">
        <v>25</v>
      </c>
      <c r="G73">
        <v>27</v>
      </c>
      <c r="H73">
        <v>3</v>
      </c>
      <c r="I73">
        <v>200</v>
      </c>
      <c r="J73">
        <v>0</v>
      </c>
      <c r="K73" t="s">
        <v>1</v>
      </c>
      <c r="L73">
        <v>1203.2062000000001</v>
      </c>
      <c r="M73">
        <v>3786.1477</v>
      </c>
      <c r="N73">
        <v>268.53250000000003</v>
      </c>
      <c r="O73">
        <v>296.2319</v>
      </c>
      <c r="P73" s="76">
        <f t="shared" si="7"/>
        <v>9.3505797316224104E-2</v>
      </c>
      <c r="Q73">
        <v>0</v>
      </c>
      <c r="R73">
        <v>43</v>
      </c>
      <c r="S73">
        <v>2376</v>
      </c>
      <c r="T73" t="s">
        <v>199</v>
      </c>
      <c r="U73" t="s">
        <v>336</v>
      </c>
      <c r="V73" s="2">
        <v>46110.099305555559</v>
      </c>
    </row>
    <row r="74" spans="1:22">
      <c r="A74" t="s">
        <v>271</v>
      </c>
      <c r="B74" t="s">
        <v>70</v>
      </c>
      <c r="C74">
        <v>0</v>
      </c>
      <c r="D74">
        <v>0</v>
      </c>
      <c r="E74">
        <v>2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1203.2062000000001</v>
      </c>
      <c r="M74">
        <v>4212.7161999999998</v>
      </c>
      <c r="N74">
        <v>268.53250000000003</v>
      </c>
      <c r="O74">
        <v>278.22140000000002</v>
      </c>
      <c r="P74" s="76">
        <f t="shared" si="7"/>
        <v>3.4824424001891979E-2</v>
      </c>
      <c r="Q74">
        <v>0</v>
      </c>
      <c r="R74">
        <v>261</v>
      </c>
      <c r="S74">
        <v>2247</v>
      </c>
      <c r="T74" t="s">
        <v>199</v>
      </c>
      <c r="U74" t="s">
        <v>337</v>
      </c>
      <c r="V74" s="2">
        <v>46110.147916666669</v>
      </c>
    </row>
    <row r="75" spans="1:22">
      <c r="A75" t="s">
        <v>273</v>
      </c>
      <c r="B75" t="s">
        <v>70</v>
      </c>
      <c r="C75">
        <v>0</v>
      </c>
      <c r="D75">
        <v>0</v>
      </c>
      <c r="E75">
        <v>3</v>
      </c>
      <c r="F75">
        <v>25</v>
      </c>
      <c r="G75">
        <v>27</v>
      </c>
      <c r="H75">
        <v>3</v>
      </c>
      <c r="I75">
        <v>200</v>
      </c>
      <c r="J75">
        <v>0</v>
      </c>
      <c r="K75" t="s">
        <v>1</v>
      </c>
      <c r="L75">
        <v>1203.2062000000001</v>
      </c>
      <c r="M75">
        <v>3613.5972999999999</v>
      </c>
      <c r="N75">
        <v>268.53250000000003</v>
      </c>
      <c r="O75">
        <v>291.06240000000003</v>
      </c>
      <c r="P75" s="76">
        <f t="shared" si="7"/>
        <v>7.7405738425849566E-2</v>
      </c>
      <c r="Q75">
        <v>0</v>
      </c>
      <c r="R75">
        <v>1266</v>
      </c>
      <c r="S75">
        <v>8190</v>
      </c>
      <c r="T75" t="s">
        <v>199</v>
      </c>
      <c r="U75" t="s">
        <v>338</v>
      </c>
      <c r="V75" s="2">
        <v>46110.189583333333</v>
      </c>
    </row>
    <row r="76" spans="1:22">
      <c r="A76" t="s">
        <v>275</v>
      </c>
      <c r="B76" t="s">
        <v>70</v>
      </c>
      <c r="C76">
        <v>0</v>
      </c>
      <c r="D76">
        <v>0</v>
      </c>
      <c r="E76">
        <v>22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 s="41">
        <v>1203</v>
      </c>
      <c r="M76" s="41">
        <v>4555</v>
      </c>
      <c r="N76">
        <v>268.53250000000003</v>
      </c>
      <c r="O76">
        <f>N76</f>
        <v>268.53250000000003</v>
      </c>
      <c r="P76" s="76">
        <f t="shared" si="7"/>
        <v>0</v>
      </c>
      <c r="R76">
        <v>0</v>
      </c>
      <c r="S76">
        <v>0</v>
      </c>
      <c r="T76" t="s">
        <v>199</v>
      </c>
      <c r="U76" t="s">
        <v>28</v>
      </c>
      <c r="V76" s="2">
        <v>46110.242361111108</v>
      </c>
    </row>
    <row r="77" spans="1:22">
      <c r="A77" t="s">
        <v>0</v>
      </c>
      <c r="B77" t="s">
        <v>215</v>
      </c>
      <c r="C77">
        <v>0</v>
      </c>
      <c r="D77">
        <v>0</v>
      </c>
      <c r="E77">
        <v>10</v>
      </c>
      <c r="F77">
        <v>25</v>
      </c>
      <c r="G77">
        <v>27</v>
      </c>
      <c r="H77">
        <v>3</v>
      </c>
      <c r="I77">
        <v>200</v>
      </c>
      <c r="J77">
        <v>0</v>
      </c>
      <c r="K77" t="s">
        <v>1</v>
      </c>
      <c r="L77">
        <v>137.84270000000001</v>
      </c>
      <c r="M77">
        <v>108.41459999999999</v>
      </c>
      <c r="N77">
        <v>191.81360000000001</v>
      </c>
      <c r="O77">
        <v>191.81360000000001</v>
      </c>
      <c r="P77" s="76">
        <f t="shared" si="7"/>
        <v>0</v>
      </c>
      <c r="Q77">
        <v>1</v>
      </c>
      <c r="R77">
        <v>1</v>
      </c>
      <c r="S77">
        <v>975</v>
      </c>
      <c r="T77" t="s">
        <v>135</v>
      </c>
      <c r="U77" t="s">
        <v>136</v>
      </c>
      <c r="V77" s="2">
        <v>46108.692361111112</v>
      </c>
    </row>
    <row r="78" spans="1:22">
      <c r="A78" t="s">
        <v>0</v>
      </c>
      <c r="B78" t="s">
        <v>216</v>
      </c>
      <c r="C78">
        <v>0</v>
      </c>
      <c r="D78">
        <v>0</v>
      </c>
      <c r="E78">
        <v>10</v>
      </c>
      <c r="F78">
        <v>25</v>
      </c>
      <c r="G78">
        <v>27</v>
      </c>
      <c r="H78">
        <v>3</v>
      </c>
      <c r="I78">
        <v>200</v>
      </c>
      <c r="J78">
        <v>0</v>
      </c>
      <c r="K78" t="s">
        <v>1</v>
      </c>
      <c r="L78">
        <v>23.4754</v>
      </c>
      <c r="M78">
        <v>257.85230000000001</v>
      </c>
      <c r="N78">
        <v>190.73759999999999</v>
      </c>
      <c r="O78">
        <v>190.73759999999999</v>
      </c>
      <c r="P78" s="76">
        <f t="shared" si="7"/>
        <v>0</v>
      </c>
      <c r="Q78">
        <v>1</v>
      </c>
      <c r="R78">
        <v>1</v>
      </c>
      <c r="S78">
        <v>1506</v>
      </c>
      <c r="T78" t="s">
        <v>138</v>
      </c>
      <c r="U78" t="s">
        <v>139</v>
      </c>
      <c r="V78" s="2">
        <v>46108.695833333331</v>
      </c>
    </row>
    <row r="79" spans="1:22">
      <c r="A79" t="s">
        <v>0</v>
      </c>
      <c r="B79" t="s">
        <v>217</v>
      </c>
      <c r="C79">
        <v>0</v>
      </c>
      <c r="D79">
        <v>0</v>
      </c>
      <c r="E79">
        <v>10</v>
      </c>
      <c r="F79">
        <v>25</v>
      </c>
      <c r="G79">
        <v>27</v>
      </c>
      <c r="H79">
        <v>3</v>
      </c>
      <c r="I79">
        <v>200</v>
      </c>
      <c r="J79">
        <v>0</v>
      </c>
      <c r="K79" t="s">
        <v>1</v>
      </c>
      <c r="L79">
        <v>1202.204</v>
      </c>
      <c r="M79">
        <v>639.08339999999998</v>
      </c>
      <c r="N79">
        <v>190.73759999999999</v>
      </c>
      <c r="O79">
        <v>190.73759999999999</v>
      </c>
      <c r="P79" s="76">
        <f t="shared" si="7"/>
        <v>0</v>
      </c>
      <c r="Q79">
        <v>1</v>
      </c>
      <c r="R79">
        <v>1</v>
      </c>
      <c r="S79">
        <v>1506</v>
      </c>
      <c r="T79" t="s">
        <v>141</v>
      </c>
      <c r="U79" t="s">
        <v>264</v>
      </c>
      <c r="V79" s="2">
        <v>46108.717361111114</v>
      </c>
    </row>
    <row r="80" spans="1:22">
      <c r="A80" t="s">
        <v>0</v>
      </c>
      <c r="B80" t="s">
        <v>218</v>
      </c>
      <c r="C80">
        <v>0</v>
      </c>
      <c r="D80">
        <v>0</v>
      </c>
      <c r="E80">
        <v>10</v>
      </c>
      <c r="F80">
        <v>25</v>
      </c>
      <c r="G80">
        <v>27</v>
      </c>
      <c r="H80">
        <v>3</v>
      </c>
      <c r="I80">
        <v>200</v>
      </c>
      <c r="J80">
        <v>0</v>
      </c>
      <c r="K80" t="s">
        <v>1</v>
      </c>
      <c r="L80">
        <v>1202.261</v>
      </c>
      <c r="M80">
        <v>737.45619999999997</v>
      </c>
      <c r="N80">
        <v>187.4495</v>
      </c>
      <c r="O80">
        <v>187.4495</v>
      </c>
      <c r="P80" s="76">
        <f t="shared" si="7"/>
        <v>0</v>
      </c>
      <c r="Q80">
        <v>1</v>
      </c>
      <c r="R80">
        <v>1</v>
      </c>
      <c r="S80">
        <v>1506</v>
      </c>
      <c r="T80" t="s">
        <v>143</v>
      </c>
      <c r="U80" t="s">
        <v>143</v>
      </c>
      <c r="V80" s="2">
        <v>46108.739583333336</v>
      </c>
    </row>
    <row r="81" spans="1:22">
      <c r="A81" t="s">
        <v>0</v>
      </c>
      <c r="B81" t="s">
        <v>220</v>
      </c>
      <c r="C81">
        <v>0</v>
      </c>
      <c r="D81">
        <v>0</v>
      </c>
      <c r="E81">
        <v>10</v>
      </c>
      <c r="F81">
        <v>25</v>
      </c>
      <c r="G81">
        <v>27</v>
      </c>
      <c r="H81">
        <v>3</v>
      </c>
      <c r="I81">
        <v>200</v>
      </c>
      <c r="J81">
        <v>0</v>
      </c>
      <c r="K81" t="s">
        <v>1</v>
      </c>
      <c r="L81">
        <v>1.2136</v>
      </c>
      <c r="M81">
        <v>273.01530000000002</v>
      </c>
      <c r="N81">
        <v>191.81360000000001</v>
      </c>
      <c r="O81">
        <v>191.81360000000001</v>
      </c>
      <c r="P81" s="76">
        <f t="shared" si="7"/>
        <v>0</v>
      </c>
      <c r="Q81">
        <v>1</v>
      </c>
      <c r="R81">
        <v>1</v>
      </c>
      <c r="S81">
        <v>1422</v>
      </c>
      <c r="T81" t="s">
        <v>146</v>
      </c>
      <c r="U81" t="s">
        <v>135</v>
      </c>
      <c r="V81" s="2">
        <v>46108.743055555555</v>
      </c>
    </row>
    <row r="82" spans="1:22">
      <c r="A82" t="s">
        <v>0</v>
      </c>
      <c r="B82" t="s">
        <v>221</v>
      </c>
      <c r="C82">
        <v>0</v>
      </c>
      <c r="D82">
        <v>0</v>
      </c>
      <c r="E82">
        <v>10</v>
      </c>
      <c r="F82">
        <v>25</v>
      </c>
      <c r="G82">
        <v>27</v>
      </c>
      <c r="H82">
        <v>3</v>
      </c>
      <c r="I82">
        <v>200</v>
      </c>
      <c r="J82">
        <v>0</v>
      </c>
      <c r="K82" t="s">
        <v>1</v>
      </c>
      <c r="L82">
        <v>0.69059999999999999</v>
      </c>
      <c r="M82">
        <v>186.08019999999999</v>
      </c>
      <c r="N82">
        <v>191.81360000000001</v>
      </c>
      <c r="O82">
        <v>191.81360000000001</v>
      </c>
      <c r="P82" s="76">
        <f t="shared" si="7"/>
        <v>0</v>
      </c>
      <c r="Q82">
        <v>1</v>
      </c>
      <c r="R82">
        <v>1</v>
      </c>
      <c r="S82">
        <v>1077</v>
      </c>
      <c r="T82" t="s">
        <v>149</v>
      </c>
      <c r="U82" t="s">
        <v>147</v>
      </c>
      <c r="V82" s="2">
        <v>46108.745138888888</v>
      </c>
    </row>
    <row r="83" spans="1:22">
      <c r="A83" t="s">
        <v>0</v>
      </c>
      <c r="B83" t="s">
        <v>222</v>
      </c>
      <c r="C83">
        <v>0</v>
      </c>
      <c r="D83">
        <v>0</v>
      </c>
      <c r="E83">
        <v>10</v>
      </c>
      <c r="F83">
        <v>25</v>
      </c>
      <c r="G83">
        <v>27</v>
      </c>
      <c r="H83">
        <v>3</v>
      </c>
      <c r="I83">
        <v>200</v>
      </c>
      <c r="J83">
        <v>0</v>
      </c>
      <c r="K83" t="s">
        <v>1</v>
      </c>
      <c r="L83">
        <v>1.2504999999999999</v>
      </c>
      <c r="M83">
        <v>240.09229999999999</v>
      </c>
      <c r="N83">
        <v>191.81360000000001</v>
      </c>
      <c r="O83">
        <v>191.81360000000001</v>
      </c>
      <c r="P83" s="76">
        <f t="shared" si="7"/>
        <v>0</v>
      </c>
      <c r="Q83">
        <v>1</v>
      </c>
      <c r="R83">
        <v>1</v>
      </c>
      <c r="S83">
        <v>1506</v>
      </c>
      <c r="T83" t="s">
        <v>147</v>
      </c>
      <c r="U83" t="s">
        <v>135</v>
      </c>
      <c r="V83" s="2">
        <v>46108.747916666667</v>
      </c>
    </row>
    <row r="84" spans="1:22">
      <c r="A84" t="s">
        <v>0</v>
      </c>
      <c r="B84" t="s">
        <v>223</v>
      </c>
      <c r="C84">
        <v>0</v>
      </c>
      <c r="D84">
        <v>0</v>
      </c>
      <c r="E84">
        <v>10</v>
      </c>
      <c r="F84">
        <v>25</v>
      </c>
      <c r="G84">
        <v>27</v>
      </c>
      <c r="H84">
        <v>3</v>
      </c>
      <c r="I84">
        <v>200</v>
      </c>
      <c r="J84">
        <v>0</v>
      </c>
      <c r="K84" t="s">
        <v>1</v>
      </c>
      <c r="L84">
        <v>23.616900000000001</v>
      </c>
      <c r="M84">
        <v>375.6112</v>
      </c>
      <c r="N84">
        <v>191.81360000000001</v>
      </c>
      <c r="O84">
        <v>191.81360000000001</v>
      </c>
      <c r="P84" s="76">
        <f t="shared" si="7"/>
        <v>0</v>
      </c>
      <c r="Q84">
        <v>1</v>
      </c>
      <c r="R84">
        <v>1</v>
      </c>
      <c r="S84">
        <v>1506</v>
      </c>
      <c r="T84" t="s">
        <v>152</v>
      </c>
      <c r="U84" t="s">
        <v>146</v>
      </c>
      <c r="V84" s="2">
        <v>46108.75277777778</v>
      </c>
    </row>
    <row r="85" spans="1:22">
      <c r="A85" t="s">
        <v>0</v>
      </c>
      <c r="B85" t="s">
        <v>68</v>
      </c>
      <c r="C85">
        <v>0</v>
      </c>
      <c r="D85">
        <v>0</v>
      </c>
      <c r="E85">
        <v>10</v>
      </c>
      <c r="F85">
        <v>25</v>
      </c>
      <c r="G85">
        <v>27</v>
      </c>
      <c r="H85">
        <v>3</v>
      </c>
      <c r="I85">
        <v>200</v>
      </c>
      <c r="J85">
        <v>0</v>
      </c>
      <c r="K85" t="s">
        <v>1</v>
      </c>
      <c r="L85">
        <v>1201.4670000000001</v>
      </c>
      <c r="M85">
        <v>152.20660000000001</v>
      </c>
      <c r="N85">
        <v>191.81360000000001</v>
      </c>
      <c r="O85">
        <v>198.30009999999999</v>
      </c>
      <c r="P85" s="76">
        <f t="shared" si="7"/>
        <v>3.2710523091011946E-2</v>
      </c>
      <c r="Q85">
        <v>0</v>
      </c>
      <c r="R85">
        <v>1</v>
      </c>
      <c r="S85">
        <v>1506</v>
      </c>
      <c r="T85" t="s">
        <v>136</v>
      </c>
      <c r="U85" t="s">
        <v>339</v>
      </c>
      <c r="V85" s="2">
        <v>46108.768055555556</v>
      </c>
    </row>
    <row r="86" spans="1:22">
      <c r="A86" t="s">
        <v>0</v>
      </c>
      <c r="B86" t="s">
        <v>60</v>
      </c>
      <c r="C86">
        <v>0</v>
      </c>
      <c r="D86">
        <v>0</v>
      </c>
      <c r="E86">
        <v>10</v>
      </c>
      <c r="F86">
        <v>25</v>
      </c>
      <c r="G86">
        <v>27</v>
      </c>
      <c r="H86">
        <v>8</v>
      </c>
      <c r="I86">
        <v>200</v>
      </c>
      <c r="J86">
        <v>0</v>
      </c>
      <c r="K86" t="s">
        <v>1</v>
      </c>
      <c r="L86">
        <v>0.73960000000000004</v>
      </c>
      <c r="M86">
        <v>25.3171</v>
      </c>
      <c r="N86">
        <v>618.32989999999995</v>
      </c>
      <c r="O86">
        <v>618.32989999999995</v>
      </c>
      <c r="P86" s="76">
        <f t="shared" si="7"/>
        <v>0</v>
      </c>
      <c r="Q86">
        <v>1</v>
      </c>
      <c r="R86">
        <v>1</v>
      </c>
      <c r="S86">
        <v>1176</v>
      </c>
      <c r="T86" t="s">
        <v>2</v>
      </c>
      <c r="U86" t="s">
        <v>157</v>
      </c>
      <c r="V86" s="2">
        <v>46107.819444444445</v>
      </c>
    </row>
    <row r="87" spans="1:22">
      <c r="A87" t="s">
        <v>0</v>
      </c>
      <c r="B87" t="s">
        <v>66</v>
      </c>
      <c r="C87">
        <v>0</v>
      </c>
      <c r="D87">
        <v>0</v>
      </c>
      <c r="E87">
        <v>10</v>
      </c>
      <c r="F87">
        <v>25</v>
      </c>
      <c r="G87">
        <v>27</v>
      </c>
      <c r="H87">
        <v>7</v>
      </c>
      <c r="I87">
        <v>200</v>
      </c>
      <c r="J87">
        <v>0</v>
      </c>
      <c r="K87" t="s">
        <v>1</v>
      </c>
      <c r="L87">
        <v>1200.9863</v>
      </c>
      <c r="M87">
        <v>1620.0409</v>
      </c>
      <c r="N87">
        <v>548.1078</v>
      </c>
      <c r="O87">
        <v>548.1078</v>
      </c>
      <c r="P87" s="76">
        <f t="shared" si="7"/>
        <v>0</v>
      </c>
      <c r="Q87">
        <v>1</v>
      </c>
      <c r="R87">
        <v>2585</v>
      </c>
      <c r="S87">
        <v>2170</v>
      </c>
      <c r="T87" t="s">
        <v>4</v>
      </c>
      <c r="U87" t="s">
        <v>159</v>
      </c>
      <c r="V87" s="2">
        <v>46107.852083333331</v>
      </c>
    </row>
    <row r="88" spans="1:22">
      <c r="A88" t="s">
        <v>0</v>
      </c>
      <c r="B88" t="s">
        <v>72</v>
      </c>
      <c r="C88">
        <v>0</v>
      </c>
      <c r="D88">
        <v>0</v>
      </c>
      <c r="E88">
        <v>10</v>
      </c>
      <c r="F88">
        <v>25</v>
      </c>
      <c r="G88">
        <v>27</v>
      </c>
      <c r="H88">
        <v>5</v>
      </c>
      <c r="I88">
        <v>200</v>
      </c>
      <c r="J88">
        <v>0</v>
      </c>
      <c r="K88" t="s">
        <v>1</v>
      </c>
      <c r="L88">
        <v>1201.1936000000001</v>
      </c>
      <c r="M88">
        <v>185.24809999999999</v>
      </c>
      <c r="N88">
        <f>N109</f>
        <v>454.6</v>
      </c>
      <c r="O88">
        <v>455.69819999999999</v>
      </c>
      <c r="P88" s="76">
        <f t="shared" si="7"/>
        <v>2.4099283253696483E-3</v>
      </c>
      <c r="Q88">
        <v>0</v>
      </c>
      <c r="R88">
        <v>1</v>
      </c>
      <c r="S88">
        <v>1525</v>
      </c>
      <c r="T88" t="s">
        <v>162</v>
      </c>
      <c r="U88" t="s">
        <v>163</v>
      </c>
      <c r="V88" s="2">
        <v>46107.868055555555</v>
      </c>
    </row>
    <row r="89" spans="1:22">
      <c r="A89" t="s">
        <v>0</v>
      </c>
      <c r="B89" t="s">
        <v>73</v>
      </c>
      <c r="C89">
        <v>0</v>
      </c>
      <c r="D89">
        <v>0</v>
      </c>
      <c r="E89">
        <v>10</v>
      </c>
      <c r="F89">
        <v>25</v>
      </c>
      <c r="G89">
        <v>27</v>
      </c>
      <c r="H89">
        <v>4</v>
      </c>
      <c r="I89">
        <v>200</v>
      </c>
      <c r="J89">
        <v>0</v>
      </c>
      <c r="K89" t="s">
        <v>1</v>
      </c>
      <c r="L89">
        <v>1201.6167</v>
      </c>
      <c r="M89">
        <v>162.71610000000001</v>
      </c>
      <c r="N89">
        <f>N110</f>
        <v>416.9</v>
      </c>
      <c r="O89">
        <v>417.96120000000002</v>
      </c>
      <c r="P89" s="76">
        <f t="shared" si="7"/>
        <v>2.5389916575989401E-3</v>
      </c>
      <c r="Q89">
        <v>0</v>
      </c>
      <c r="R89">
        <v>3</v>
      </c>
      <c r="S89">
        <v>1732</v>
      </c>
      <c r="T89" t="s">
        <v>166</v>
      </c>
      <c r="U89" t="s">
        <v>167</v>
      </c>
      <c r="V89" s="2">
        <v>46107.884027777778</v>
      </c>
    </row>
    <row r="90" spans="1:22">
      <c r="A90" t="s">
        <v>0</v>
      </c>
      <c r="B90" t="s">
        <v>74</v>
      </c>
      <c r="C90">
        <v>0</v>
      </c>
      <c r="D90">
        <v>0</v>
      </c>
      <c r="E90">
        <v>10</v>
      </c>
      <c r="F90">
        <v>25</v>
      </c>
      <c r="G90">
        <v>27</v>
      </c>
      <c r="H90">
        <v>6</v>
      </c>
      <c r="I90">
        <v>200</v>
      </c>
      <c r="J90">
        <v>0</v>
      </c>
      <c r="K90" t="s">
        <v>1</v>
      </c>
      <c r="L90">
        <v>17.6753</v>
      </c>
      <c r="M90">
        <v>45.564900000000002</v>
      </c>
      <c r="N90">
        <f>N111</f>
        <v>530.50000000000011</v>
      </c>
      <c r="O90">
        <v>531.53859999999997</v>
      </c>
      <c r="P90" s="76">
        <f t="shared" si="7"/>
        <v>1.9539502869591416E-3</v>
      </c>
      <c r="Q90">
        <v>1</v>
      </c>
      <c r="R90">
        <v>1</v>
      </c>
      <c r="S90">
        <v>1242</v>
      </c>
      <c r="T90" t="s">
        <v>10</v>
      </c>
      <c r="U90" t="s">
        <v>169</v>
      </c>
      <c r="V90" s="2">
        <v>46107.884722222225</v>
      </c>
    </row>
    <row r="91" spans="1:22">
      <c r="A91" t="s">
        <v>0</v>
      </c>
      <c r="B91" t="s">
        <v>75</v>
      </c>
      <c r="C91">
        <v>0</v>
      </c>
      <c r="D91">
        <v>0</v>
      </c>
      <c r="E91">
        <v>10</v>
      </c>
      <c r="F91">
        <v>25</v>
      </c>
      <c r="G91">
        <v>27</v>
      </c>
      <c r="H91">
        <v>5</v>
      </c>
      <c r="I91">
        <v>200</v>
      </c>
      <c r="J91">
        <v>0</v>
      </c>
      <c r="K91" t="s">
        <v>1</v>
      </c>
      <c r="L91">
        <v>1096.8556000000001</v>
      </c>
      <c r="M91">
        <v>896.23320000000001</v>
      </c>
      <c r="N91">
        <f>N112</f>
        <v>465.4</v>
      </c>
      <c r="O91">
        <v>466.48020000000002</v>
      </c>
      <c r="P91" s="76">
        <f t="shared" si="7"/>
        <v>2.3156395491170847E-3</v>
      </c>
      <c r="Q91">
        <v>1</v>
      </c>
      <c r="R91">
        <v>135</v>
      </c>
      <c r="S91">
        <v>2515</v>
      </c>
      <c r="T91" t="s">
        <v>12</v>
      </c>
      <c r="U91" t="s">
        <v>171</v>
      </c>
      <c r="V91" s="2">
        <v>46107.907638888886</v>
      </c>
    </row>
    <row r="92" spans="1:22">
      <c r="A92" t="s">
        <v>0</v>
      </c>
      <c r="B92" t="s">
        <v>76</v>
      </c>
      <c r="C92">
        <v>0</v>
      </c>
      <c r="D92">
        <v>0</v>
      </c>
      <c r="E92">
        <v>10</v>
      </c>
      <c r="F92">
        <v>25</v>
      </c>
      <c r="G92">
        <v>27</v>
      </c>
      <c r="H92">
        <v>4</v>
      </c>
      <c r="I92">
        <v>200</v>
      </c>
      <c r="J92">
        <v>0</v>
      </c>
      <c r="K92" t="s">
        <v>1</v>
      </c>
      <c r="L92">
        <v>1201.4686999999999</v>
      </c>
      <c r="M92">
        <v>191.86699999999999</v>
      </c>
      <c r="N92">
        <f>N113</f>
        <v>424.3</v>
      </c>
      <c r="O92">
        <v>425.26850000000002</v>
      </c>
      <c r="P92" s="76">
        <f t="shared" si="7"/>
        <v>2.2773847580998966E-3</v>
      </c>
      <c r="Q92">
        <v>0</v>
      </c>
      <c r="R92">
        <v>1</v>
      </c>
      <c r="S92">
        <v>1816</v>
      </c>
      <c r="T92" t="s">
        <v>174</v>
      </c>
      <c r="U92" t="s">
        <v>175</v>
      </c>
      <c r="V92" s="2">
        <v>46107.923611111109</v>
      </c>
    </row>
    <row r="93" spans="1:22">
      <c r="A93" t="s">
        <v>0</v>
      </c>
      <c r="B93" t="s">
        <v>77</v>
      </c>
      <c r="C93">
        <v>0</v>
      </c>
      <c r="D93">
        <v>0</v>
      </c>
      <c r="E93">
        <v>10</v>
      </c>
      <c r="F93">
        <v>25</v>
      </c>
      <c r="G93">
        <v>27</v>
      </c>
      <c r="H93">
        <v>4</v>
      </c>
      <c r="I93">
        <v>200</v>
      </c>
      <c r="J93">
        <v>0</v>
      </c>
      <c r="K93" t="s">
        <v>1</v>
      </c>
      <c r="L93">
        <v>1201.4431999999999</v>
      </c>
      <c r="M93">
        <v>545.2921</v>
      </c>
      <c r="N93">
        <f>N114</f>
        <v>397.3</v>
      </c>
      <c r="O93">
        <v>398.29469999999998</v>
      </c>
      <c r="P93" s="76">
        <f t="shared" si="7"/>
        <v>2.4973970278790209E-3</v>
      </c>
      <c r="Q93">
        <v>1</v>
      </c>
      <c r="R93">
        <v>25</v>
      </c>
      <c r="S93">
        <v>1920</v>
      </c>
      <c r="T93" t="s">
        <v>177</v>
      </c>
      <c r="U93" t="s">
        <v>178</v>
      </c>
      <c r="V93" s="2">
        <v>46107.944444444445</v>
      </c>
    </row>
    <row r="94" spans="1:22">
      <c r="A94" t="s">
        <v>0</v>
      </c>
      <c r="B94" t="s">
        <v>78</v>
      </c>
      <c r="C94">
        <v>0</v>
      </c>
      <c r="D94">
        <v>0</v>
      </c>
      <c r="E94">
        <v>10</v>
      </c>
      <c r="F94">
        <v>25</v>
      </c>
      <c r="G94">
        <v>27</v>
      </c>
      <c r="H94">
        <v>5</v>
      </c>
      <c r="I94">
        <v>200</v>
      </c>
      <c r="J94">
        <v>0</v>
      </c>
      <c r="K94" t="s">
        <v>1</v>
      </c>
      <c r="L94">
        <v>69.622900000000001</v>
      </c>
      <c r="M94">
        <v>64.655000000000001</v>
      </c>
      <c r="N94">
        <f>N115</f>
        <v>441.3</v>
      </c>
      <c r="O94">
        <v>442.62520000000001</v>
      </c>
      <c r="P94" s="76">
        <f t="shared" si="7"/>
        <v>2.9939551566426749E-3</v>
      </c>
      <c r="Q94">
        <v>1</v>
      </c>
      <c r="R94">
        <v>1</v>
      </c>
      <c r="S94">
        <v>1730</v>
      </c>
      <c r="T94" t="s">
        <v>17</v>
      </c>
      <c r="U94" t="s">
        <v>180</v>
      </c>
      <c r="V94" s="2">
        <v>46107.945833333331</v>
      </c>
    </row>
    <row r="95" spans="1:22">
      <c r="A95" t="s">
        <v>0</v>
      </c>
      <c r="B95" t="s">
        <v>79</v>
      </c>
      <c r="C95">
        <v>0</v>
      </c>
      <c r="D95">
        <v>0</v>
      </c>
      <c r="E95">
        <v>10</v>
      </c>
      <c r="F95">
        <v>25</v>
      </c>
      <c r="G95">
        <v>27</v>
      </c>
      <c r="H95">
        <v>4</v>
      </c>
      <c r="I95">
        <v>200</v>
      </c>
      <c r="J95">
        <v>0</v>
      </c>
      <c r="K95" t="s">
        <v>1</v>
      </c>
      <c r="L95">
        <v>1201.7543000000001</v>
      </c>
      <c r="M95">
        <v>1085.3520000000001</v>
      </c>
      <c r="N95">
        <f>N116</f>
        <v>444.8</v>
      </c>
      <c r="O95">
        <v>445.87220000000002</v>
      </c>
      <c r="P95" s="76">
        <f t="shared" si="7"/>
        <v>2.4047249413621423E-3</v>
      </c>
      <c r="R95">
        <v>91</v>
      </c>
      <c r="S95">
        <v>2664</v>
      </c>
      <c r="T95" t="s">
        <v>8</v>
      </c>
      <c r="U95" t="s">
        <v>183</v>
      </c>
      <c r="V95" s="2">
        <v>46107.972222222219</v>
      </c>
    </row>
    <row r="96" spans="1:22">
      <c r="A96" t="s">
        <v>0</v>
      </c>
      <c r="B96" t="s">
        <v>80</v>
      </c>
      <c r="C96">
        <v>0</v>
      </c>
      <c r="D96">
        <v>0</v>
      </c>
      <c r="E96">
        <v>10</v>
      </c>
      <c r="F96">
        <v>25</v>
      </c>
      <c r="G96">
        <v>27</v>
      </c>
      <c r="H96">
        <v>4</v>
      </c>
      <c r="I96">
        <v>200</v>
      </c>
      <c r="J96">
        <v>0</v>
      </c>
      <c r="K96" t="s">
        <v>1</v>
      </c>
      <c r="L96">
        <v>1201.4562000000001</v>
      </c>
      <c r="M96">
        <v>313.93610000000001</v>
      </c>
      <c r="N96">
        <f>N117</f>
        <v>428.8</v>
      </c>
      <c r="O96">
        <v>429.6968</v>
      </c>
      <c r="P96" s="76">
        <f t="shared" si="7"/>
        <v>2.0870530104017174E-3</v>
      </c>
      <c r="Q96">
        <v>0</v>
      </c>
      <c r="R96">
        <v>29</v>
      </c>
      <c r="S96">
        <v>1988</v>
      </c>
      <c r="T96" t="s">
        <v>186</v>
      </c>
      <c r="U96" t="s">
        <v>187</v>
      </c>
      <c r="V96" s="2">
        <v>46107.989583333336</v>
      </c>
    </row>
    <row r="97" spans="1:50">
      <c r="A97" t="s">
        <v>0</v>
      </c>
      <c r="B97" t="s">
        <v>71</v>
      </c>
      <c r="C97">
        <v>0</v>
      </c>
      <c r="D97">
        <v>0</v>
      </c>
      <c r="E97">
        <v>10</v>
      </c>
      <c r="F97">
        <v>25</v>
      </c>
      <c r="G97">
        <v>27</v>
      </c>
      <c r="H97">
        <v>4</v>
      </c>
      <c r="I97">
        <v>200</v>
      </c>
      <c r="J97">
        <v>0</v>
      </c>
      <c r="K97" t="s">
        <v>1</v>
      </c>
      <c r="L97">
        <v>1201.4874</v>
      </c>
      <c r="M97">
        <v>3346.43</v>
      </c>
      <c r="N97">
        <v>394.10129999999998</v>
      </c>
      <c r="O97">
        <v>396.98379999999997</v>
      </c>
      <c r="P97" s="76">
        <f t="shared" si="7"/>
        <v>7.2610015824323146E-3</v>
      </c>
      <c r="Q97">
        <v>0</v>
      </c>
      <c r="R97">
        <v>559</v>
      </c>
      <c r="S97">
        <v>3936</v>
      </c>
      <c r="T97" t="s">
        <v>21</v>
      </c>
      <c r="U97" t="s">
        <v>190</v>
      </c>
      <c r="V97" s="2">
        <v>46108.042361111111</v>
      </c>
    </row>
    <row r="98" spans="1:50">
      <c r="A98" t="s">
        <v>495</v>
      </c>
      <c r="B98" t="s">
        <v>215</v>
      </c>
      <c r="C98">
        <v>0</v>
      </c>
      <c r="E98">
        <f>33</f>
        <v>33</v>
      </c>
      <c r="M98">
        <v>17.40220141410828</v>
      </c>
      <c r="N98">
        <v>191.3</v>
      </c>
      <c r="O98">
        <v>191.3</v>
      </c>
      <c r="P98" s="76">
        <f t="shared" si="7"/>
        <v>0</v>
      </c>
    </row>
    <row r="99" spans="1:50">
      <c r="A99" t="s">
        <v>496</v>
      </c>
      <c r="B99" t="s">
        <v>216</v>
      </c>
      <c r="C99">
        <v>0</v>
      </c>
      <c r="E99">
        <f>E98</f>
        <v>33</v>
      </c>
      <c r="M99">
        <v>182.77541708946231</v>
      </c>
      <c r="N99">
        <v>190.3</v>
      </c>
      <c r="O99">
        <v>190.3</v>
      </c>
      <c r="P99" s="76">
        <f t="shared" si="7"/>
        <v>0</v>
      </c>
      <c r="AC99" t="s">
        <v>0</v>
      </c>
      <c r="AD99" t="s">
        <v>134</v>
      </c>
      <c r="AE99">
        <v>0</v>
      </c>
      <c r="AF99">
        <v>0</v>
      </c>
      <c r="AG99">
        <v>10</v>
      </c>
      <c r="AH99">
        <v>25</v>
      </c>
      <c r="AI99">
        <v>27</v>
      </c>
      <c r="AJ99">
        <v>3</v>
      </c>
      <c r="AK99">
        <v>200</v>
      </c>
      <c r="AL99">
        <v>0</v>
      </c>
      <c r="AM99" t="s">
        <v>1</v>
      </c>
      <c r="AN99">
        <v>0.2661</v>
      </c>
      <c r="AO99">
        <v>108</v>
      </c>
      <c r="AP99" s="41">
        <v>1918136</v>
      </c>
      <c r="AQ99" s="41">
        <v>1918136</v>
      </c>
      <c r="AR99" t="s">
        <v>340</v>
      </c>
      <c r="AS99">
        <v>1</v>
      </c>
      <c r="AT99">
        <v>1</v>
      </c>
      <c r="AU99">
        <v>975</v>
      </c>
      <c r="AV99" t="s">
        <v>135</v>
      </c>
      <c r="AW99" t="s">
        <v>136</v>
      </c>
      <c r="AX99" s="2">
        <v>46113.821527777778</v>
      </c>
    </row>
    <row r="100" spans="1:50">
      <c r="A100" t="s">
        <v>497</v>
      </c>
      <c r="B100" t="s">
        <v>217</v>
      </c>
      <c r="C100">
        <v>0</v>
      </c>
      <c r="E100">
        <f t="shared" ref="E100:E117" si="8">E99</f>
        <v>33</v>
      </c>
      <c r="M100">
        <v>334.36823391914368</v>
      </c>
      <c r="N100">
        <v>190.3</v>
      </c>
      <c r="O100">
        <v>190.3</v>
      </c>
      <c r="P100" s="76">
        <f t="shared" si="7"/>
        <v>0</v>
      </c>
      <c r="AC100" t="s">
        <v>0</v>
      </c>
      <c r="AD100" t="s">
        <v>137</v>
      </c>
      <c r="AE100">
        <v>0</v>
      </c>
      <c r="AF100">
        <v>0</v>
      </c>
      <c r="AG100">
        <v>10</v>
      </c>
      <c r="AH100">
        <v>25</v>
      </c>
      <c r="AI100">
        <v>27</v>
      </c>
      <c r="AJ100">
        <v>3</v>
      </c>
      <c r="AK100">
        <v>200</v>
      </c>
      <c r="AL100">
        <v>0</v>
      </c>
      <c r="AM100" t="s">
        <v>1</v>
      </c>
      <c r="AN100" s="41">
        <v>19595</v>
      </c>
      <c r="AO100">
        <v>828</v>
      </c>
      <c r="AP100" s="41">
        <v>1907376</v>
      </c>
      <c r="AQ100" s="41">
        <v>1907376</v>
      </c>
      <c r="AR100" t="s">
        <v>340</v>
      </c>
      <c r="AS100">
        <v>1</v>
      </c>
      <c r="AT100">
        <v>1</v>
      </c>
      <c r="AU100">
        <v>2391</v>
      </c>
      <c r="AV100" t="s">
        <v>138</v>
      </c>
      <c r="AW100" t="s">
        <v>139</v>
      </c>
      <c r="AX100" s="2">
        <v>46113.831250000003</v>
      </c>
    </row>
    <row r="101" spans="1:50">
      <c r="A101" t="s">
        <v>498</v>
      </c>
      <c r="B101" t="s">
        <v>218</v>
      </c>
      <c r="C101">
        <v>0</v>
      </c>
      <c r="E101">
        <f t="shared" si="8"/>
        <v>33</v>
      </c>
      <c r="M101">
        <v>527.53378462791443</v>
      </c>
      <c r="N101">
        <v>186.9</v>
      </c>
      <c r="O101">
        <v>186.9</v>
      </c>
      <c r="P101" s="76">
        <f t="shared" si="7"/>
        <v>0</v>
      </c>
      <c r="AC101" t="s">
        <v>0</v>
      </c>
      <c r="AD101" t="s">
        <v>140</v>
      </c>
      <c r="AE101">
        <v>0</v>
      </c>
      <c r="AF101">
        <v>0</v>
      </c>
      <c r="AG101">
        <v>10</v>
      </c>
      <c r="AH101">
        <v>25</v>
      </c>
      <c r="AI101">
        <v>27</v>
      </c>
      <c r="AJ101">
        <v>3</v>
      </c>
      <c r="AK101">
        <v>200</v>
      </c>
      <c r="AL101">
        <v>0</v>
      </c>
      <c r="AM101" t="s">
        <v>1</v>
      </c>
      <c r="AN101" s="41">
        <v>12014904</v>
      </c>
      <c r="AO101" s="41">
        <v>1009</v>
      </c>
      <c r="AP101" s="41">
        <v>1907376</v>
      </c>
      <c r="AQ101" s="41">
        <v>1907376</v>
      </c>
      <c r="AR101" t="s">
        <v>340</v>
      </c>
      <c r="AS101">
        <v>1</v>
      </c>
      <c r="AT101">
        <v>1</v>
      </c>
      <c r="AU101">
        <v>2328</v>
      </c>
      <c r="AV101" t="s">
        <v>141</v>
      </c>
      <c r="AW101" t="s">
        <v>138</v>
      </c>
      <c r="AX101" s="2">
        <v>46113.856944444444</v>
      </c>
    </row>
    <row r="102" spans="1:50">
      <c r="A102" t="s">
        <v>499</v>
      </c>
      <c r="B102" t="s">
        <v>220</v>
      </c>
      <c r="C102">
        <v>0</v>
      </c>
      <c r="E102">
        <f t="shared" si="8"/>
        <v>33</v>
      </c>
      <c r="M102">
        <v>59.830489158630371</v>
      </c>
      <c r="N102">
        <v>191.3</v>
      </c>
      <c r="O102">
        <v>191.3</v>
      </c>
      <c r="P102" s="76">
        <f t="shared" si="7"/>
        <v>0</v>
      </c>
      <c r="AC102" t="s">
        <v>0</v>
      </c>
      <c r="AD102" t="s">
        <v>142</v>
      </c>
      <c r="AE102">
        <v>0</v>
      </c>
      <c r="AF102">
        <v>0</v>
      </c>
      <c r="AG102">
        <v>10</v>
      </c>
      <c r="AH102">
        <v>25</v>
      </c>
      <c r="AI102">
        <v>27</v>
      </c>
      <c r="AJ102">
        <v>3</v>
      </c>
      <c r="AK102">
        <v>200</v>
      </c>
      <c r="AL102">
        <v>0</v>
      </c>
      <c r="AM102" t="s">
        <v>1</v>
      </c>
      <c r="AN102" s="41">
        <v>12019546</v>
      </c>
      <c r="AO102">
        <v>518</v>
      </c>
      <c r="AP102" s="41">
        <v>1874495</v>
      </c>
      <c r="AQ102" s="41">
        <v>1907412</v>
      </c>
      <c r="AR102" s="41">
        <f>(AQ102-AP102)/AQ102</f>
        <v>1.7257414758846016E-2</v>
      </c>
      <c r="AS102">
        <v>0</v>
      </c>
      <c r="AT102">
        <v>1</v>
      </c>
      <c r="AU102">
        <v>2121</v>
      </c>
      <c r="AV102" t="s">
        <v>143</v>
      </c>
      <c r="AW102" t="s">
        <v>144</v>
      </c>
      <c r="AX102" s="2">
        <v>46113.876388888886</v>
      </c>
    </row>
    <row r="103" spans="1:50">
      <c r="A103" t="s">
        <v>500</v>
      </c>
      <c r="B103" t="s">
        <v>221</v>
      </c>
      <c r="C103">
        <v>0</v>
      </c>
      <c r="E103">
        <f t="shared" si="8"/>
        <v>33</v>
      </c>
      <c r="M103">
        <v>85.725864171981812</v>
      </c>
      <c r="N103">
        <v>191.3</v>
      </c>
      <c r="O103">
        <v>191.3</v>
      </c>
      <c r="P103" s="76">
        <f t="shared" si="7"/>
        <v>0</v>
      </c>
      <c r="AC103" t="s">
        <v>0</v>
      </c>
      <c r="AD103" t="s">
        <v>145</v>
      </c>
      <c r="AE103">
        <v>0</v>
      </c>
      <c r="AF103">
        <v>0</v>
      </c>
      <c r="AG103">
        <v>10</v>
      </c>
      <c r="AH103">
        <v>25</v>
      </c>
      <c r="AI103">
        <v>27</v>
      </c>
      <c r="AJ103">
        <v>3</v>
      </c>
      <c r="AK103">
        <v>200</v>
      </c>
      <c r="AL103">
        <v>0</v>
      </c>
      <c r="AM103" t="s">
        <v>1</v>
      </c>
      <c r="AN103">
        <v>0.61839999999999995</v>
      </c>
      <c r="AO103">
        <v>684</v>
      </c>
      <c r="AP103" s="41">
        <v>1918136</v>
      </c>
      <c r="AQ103" s="41">
        <v>1918136</v>
      </c>
      <c r="AR103" t="s">
        <v>340</v>
      </c>
      <c r="AS103">
        <v>1</v>
      </c>
      <c r="AT103">
        <v>1</v>
      </c>
      <c r="AU103">
        <v>2424</v>
      </c>
      <c r="AV103" t="s">
        <v>146</v>
      </c>
      <c r="AW103" t="s">
        <v>147</v>
      </c>
      <c r="AX103" s="2">
        <v>46113.884722222225</v>
      </c>
    </row>
    <row r="104" spans="1:50">
      <c r="A104" t="s">
        <v>501</v>
      </c>
      <c r="B104" t="s">
        <v>222</v>
      </c>
      <c r="C104">
        <v>0</v>
      </c>
      <c r="E104">
        <f t="shared" si="8"/>
        <v>33</v>
      </c>
      <c r="M104">
        <v>16.68877029418945</v>
      </c>
      <c r="N104">
        <v>191.3</v>
      </c>
      <c r="O104">
        <v>191.3</v>
      </c>
      <c r="P104" s="76">
        <f t="shared" si="7"/>
        <v>0</v>
      </c>
      <c r="AC104" t="s">
        <v>0</v>
      </c>
      <c r="AD104" t="s">
        <v>148</v>
      </c>
      <c r="AE104">
        <v>0</v>
      </c>
      <c r="AF104">
        <v>0</v>
      </c>
      <c r="AG104">
        <v>10</v>
      </c>
      <c r="AH104">
        <v>25</v>
      </c>
      <c r="AI104">
        <v>27</v>
      </c>
      <c r="AJ104">
        <v>3</v>
      </c>
      <c r="AK104">
        <v>200</v>
      </c>
      <c r="AL104">
        <v>0</v>
      </c>
      <c r="AM104" t="s">
        <v>1</v>
      </c>
      <c r="AN104">
        <v>0.30719999999999997</v>
      </c>
      <c r="AO104" s="41">
        <v>4181565</v>
      </c>
      <c r="AP104" s="41">
        <v>1918136</v>
      </c>
      <c r="AQ104" s="41">
        <v>1918136</v>
      </c>
      <c r="AR104" t="s">
        <v>340</v>
      </c>
      <c r="AS104">
        <v>1</v>
      </c>
      <c r="AT104">
        <v>1</v>
      </c>
      <c r="AU104">
        <v>1686</v>
      </c>
      <c r="AV104" t="s">
        <v>149</v>
      </c>
      <c r="AW104" t="s">
        <v>135</v>
      </c>
      <c r="AX104" s="2">
        <v>46113.88958333333</v>
      </c>
    </row>
    <row r="105" spans="1:50">
      <c r="A105" t="s">
        <v>502</v>
      </c>
      <c r="B105" t="s">
        <v>223</v>
      </c>
      <c r="C105">
        <v>0</v>
      </c>
      <c r="E105">
        <f t="shared" si="8"/>
        <v>33</v>
      </c>
      <c r="M105">
        <v>411.63032484054571</v>
      </c>
      <c r="N105">
        <v>198.1</v>
      </c>
      <c r="O105">
        <v>198.1</v>
      </c>
      <c r="P105" s="76">
        <f t="shared" si="7"/>
        <v>0</v>
      </c>
      <c r="AC105" t="s">
        <v>0</v>
      </c>
      <c r="AD105" t="s">
        <v>150</v>
      </c>
      <c r="AE105">
        <v>0</v>
      </c>
      <c r="AF105">
        <v>0</v>
      </c>
      <c r="AG105">
        <v>10</v>
      </c>
      <c r="AH105">
        <v>25</v>
      </c>
      <c r="AI105">
        <v>27</v>
      </c>
      <c r="AJ105">
        <v>3</v>
      </c>
      <c r="AK105">
        <v>200</v>
      </c>
      <c r="AL105">
        <v>0</v>
      </c>
      <c r="AM105" t="s">
        <v>1</v>
      </c>
      <c r="AN105">
        <v>0.61609999999999998</v>
      </c>
      <c r="AO105" s="41">
        <v>3402205</v>
      </c>
      <c r="AP105" s="41">
        <v>1918136</v>
      </c>
      <c r="AQ105" s="41">
        <v>1918136</v>
      </c>
      <c r="AR105" t="s">
        <v>340</v>
      </c>
      <c r="AS105">
        <v>1</v>
      </c>
      <c r="AT105">
        <v>1</v>
      </c>
      <c r="AU105">
        <v>2040</v>
      </c>
      <c r="AV105" t="s">
        <v>147</v>
      </c>
      <c r="AW105" t="s">
        <v>135</v>
      </c>
      <c r="AX105" s="2">
        <v>46113.893750000003</v>
      </c>
    </row>
    <row r="106" spans="1:50">
      <c r="A106" t="s">
        <v>503</v>
      </c>
      <c r="B106" t="s">
        <v>68</v>
      </c>
      <c r="C106">
        <v>0</v>
      </c>
      <c r="E106">
        <f t="shared" si="8"/>
        <v>33</v>
      </c>
      <c r="M106">
        <v>1249.2095787525179</v>
      </c>
      <c r="N106">
        <v>191.3</v>
      </c>
      <c r="O106">
        <v>191.3</v>
      </c>
      <c r="P106" s="76">
        <f t="shared" si="7"/>
        <v>0</v>
      </c>
      <c r="AC106" t="s">
        <v>0</v>
      </c>
      <c r="AD106" t="s">
        <v>151</v>
      </c>
      <c r="AE106">
        <v>0</v>
      </c>
      <c r="AF106">
        <v>0</v>
      </c>
      <c r="AG106">
        <v>10</v>
      </c>
      <c r="AH106">
        <v>25</v>
      </c>
      <c r="AI106">
        <v>27</v>
      </c>
      <c r="AJ106">
        <v>3</v>
      </c>
      <c r="AK106">
        <v>200</v>
      </c>
      <c r="AL106">
        <v>0</v>
      </c>
      <c r="AM106" t="s">
        <v>1</v>
      </c>
      <c r="AN106" s="41">
        <v>150551</v>
      </c>
      <c r="AO106" s="41">
        <v>683342</v>
      </c>
      <c r="AP106" s="41">
        <v>1918136</v>
      </c>
      <c r="AQ106" s="41">
        <v>1918136</v>
      </c>
      <c r="AR106" t="s">
        <v>341</v>
      </c>
      <c r="AS106">
        <v>1</v>
      </c>
      <c r="AT106">
        <v>1</v>
      </c>
      <c r="AU106">
        <v>2415</v>
      </c>
      <c r="AV106" t="s">
        <v>152</v>
      </c>
      <c r="AW106" t="s">
        <v>135</v>
      </c>
      <c r="AX106" s="2">
        <v>46113.901388888888</v>
      </c>
    </row>
    <row r="107" spans="1:50">
      <c r="A107" t="s">
        <v>504</v>
      </c>
      <c r="B107" t="s">
        <v>60</v>
      </c>
      <c r="C107">
        <v>0</v>
      </c>
      <c r="E107">
        <f t="shared" si="8"/>
        <v>33</v>
      </c>
      <c r="M107">
        <v>196.28030920028689</v>
      </c>
      <c r="N107">
        <v>617.1</v>
      </c>
      <c r="O107">
        <v>617.1</v>
      </c>
      <c r="P107" s="76">
        <f t="shared" si="7"/>
        <v>0</v>
      </c>
      <c r="AC107" t="s">
        <v>0</v>
      </c>
      <c r="AD107" t="s">
        <v>153</v>
      </c>
      <c r="AE107">
        <v>0</v>
      </c>
      <c r="AF107">
        <v>0</v>
      </c>
      <c r="AG107">
        <v>10</v>
      </c>
      <c r="AH107">
        <v>25</v>
      </c>
      <c r="AI107">
        <v>27</v>
      </c>
      <c r="AJ107">
        <v>3</v>
      </c>
      <c r="AK107">
        <v>200</v>
      </c>
      <c r="AL107">
        <v>0</v>
      </c>
      <c r="AM107" t="s">
        <v>1</v>
      </c>
      <c r="AN107" s="41">
        <v>12009615</v>
      </c>
      <c r="AO107" s="41">
        <v>9058647</v>
      </c>
      <c r="AP107" s="41">
        <v>1918136</v>
      </c>
      <c r="AQ107" s="41">
        <v>1918136</v>
      </c>
      <c r="AR107" t="s">
        <v>341</v>
      </c>
      <c r="AS107">
        <v>1</v>
      </c>
      <c r="AT107">
        <v>1</v>
      </c>
      <c r="AU107">
        <v>2028</v>
      </c>
      <c r="AV107" t="s">
        <v>136</v>
      </c>
      <c r="AW107" t="s">
        <v>146</v>
      </c>
      <c r="AX107" s="2">
        <v>46113.925694444442</v>
      </c>
    </row>
    <row r="108" spans="1:50">
      <c r="A108" t="s">
        <v>505</v>
      </c>
      <c r="B108" t="s">
        <v>66</v>
      </c>
      <c r="C108">
        <v>0</v>
      </c>
      <c r="E108">
        <f t="shared" si="8"/>
        <v>33</v>
      </c>
      <c r="M108">
        <v>742.9659411907196</v>
      </c>
      <c r="N108">
        <v>547.09999999999991</v>
      </c>
      <c r="O108">
        <v>547.09999999999991</v>
      </c>
      <c r="P108" s="76">
        <f t="shared" si="7"/>
        <v>0</v>
      </c>
    </row>
    <row r="109" spans="1:50">
      <c r="A109" t="s">
        <v>506</v>
      </c>
      <c r="B109" t="s">
        <v>72</v>
      </c>
      <c r="C109">
        <v>0</v>
      </c>
      <c r="E109">
        <f t="shared" si="8"/>
        <v>33</v>
      </c>
      <c r="M109">
        <v>304.21689295768738</v>
      </c>
      <c r="N109">
        <v>454.6</v>
      </c>
      <c r="O109">
        <v>454.6</v>
      </c>
      <c r="P109" s="76">
        <f t="shared" si="7"/>
        <v>0</v>
      </c>
    </row>
    <row r="110" spans="1:50">
      <c r="A110" t="s">
        <v>507</v>
      </c>
      <c r="B110" t="s">
        <v>73</v>
      </c>
      <c r="C110">
        <v>0</v>
      </c>
      <c r="E110">
        <f t="shared" si="8"/>
        <v>33</v>
      </c>
      <c r="M110">
        <v>624.1385498046875</v>
      </c>
      <c r="N110">
        <v>416.9</v>
      </c>
      <c r="O110">
        <v>416.9</v>
      </c>
      <c r="P110" s="76">
        <f t="shared" si="7"/>
        <v>0</v>
      </c>
    </row>
    <row r="111" spans="1:50">
      <c r="A111" t="s">
        <v>508</v>
      </c>
      <c r="B111" t="s">
        <v>74</v>
      </c>
      <c r="C111">
        <v>0</v>
      </c>
      <c r="E111">
        <f t="shared" si="8"/>
        <v>33</v>
      </c>
      <c r="M111">
        <v>451.66232872009277</v>
      </c>
      <c r="N111">
        <v>530.50000000000011</v>
      </c>
      <c r="O111">
        <v>530.50000000000011</v>
      </c>
      <c r="P111" s="76">
        <f t="shared" si="7"/>
        <v>0</v>
      </c>
    </row>
    <row r="112" spans="1:50">
      <c r="A112" t="s">
        <v>509</v>
      </c>
      <c r="B112" t="s">
        <v>75</v>
      </c>
      <c r="C112">
        <v>0</v>
      </c>
      <c r="E112">
        <f t="shared" si="8"/>
        <v>33</v>
      </c>
      <c r="M112">
        <v>4210.5146205425262</v>
      </c>
      <c r="N112">
        <v>465.4</v>
      </c>
      <c r="O112">
        <v>465.4</v>
      </c>
      <c r="P112" s="76">
        <f t="shared" si="7"/>
        <v>0</v>
      </c>
    </row>
    <row r="113" spans="1:16">
      <c r="A113" t="s">
        <v>510</v>
      </c>
      <c r="B113" t="s">
        <v>76</v>
      </c>
      <c r="C113">
        <v>0</v>
      </c>
      <c r="E113">
        <f t="shared" si="8"/>
        <v>33</v>
      </c>
      <c r="M113">
        <v>491.73685741424561</v>
      </c>
      <c r="N113">
        <v>424.3</v>
      </c>
      <c r="O113">
        <v>424.3</v>
      </c>
      <c r="P113" s="76">
        <f t="shared" si="7"/>
        <v>0</v>
      </c>
    </row>
    <row r="114" spans="1:16">
      <c r="A114" t="s">
        <v>511</v>
      </c>
      <c r="B114" t="s">
        <v>77</v>
      </c>
      <c r="C114">
        <v>0</v>
      </c>
      <c r="E114">
        <f t="shared" si="8"/>
        <v>33</v>
      </c>
      <c r="M114">
        <v>1030.009838104248</v>
      </c>
      <c r="N114">
        <v>397.3</v>
      </c>
      <c r="O114">
        <v>397.3</v>
      </c>
      <c r="P114" s="76">
        <f t="shared" si="7"/>
        <v>0</v>
      </c>
    </row>
    <row r="115" spans="1:16">
      <c r="A115" t="s">
        <v>512</v>
      </c>
      <c r="B115" t="s">
        <v>78</v>
      </c>
      <c r="C115">
        <v>0</v>
      </c>
      <c r="E115">
        <f t="shared" si="8"/>
        <v>33</v>
      </c>
      <c r="M115">
        <v>384.48417496681208</v>
      </c>
      <c r="N115">
        <v>441.3</v>
      </c>
      <c r="O115">
        <v>441.3</v>
      </c>
      <c r="P115" s="76">
        <f t="shared" si="7"/>
        <v>0</v>
      </c>
    </row>
    <row r="116" spans="1:16">
      <c r="A116" t="s">
        <v>513</v>
      </c>
      <c r="B116" t="s">
        <v>79</v>
      </c>
      <c r="C116">
        <v>0</v>
      </c>
      <c r="E116">
        <f t="shared" si="8"/>
        <v>33</v>
      </c>
      <c r="M116">
        <v>4202.8075640201569</v>
      </c>
      <c r="N116">
        <v>444.8</v>
      </c>
      <c r="O116">
        <v>444.8</v>
      </c>
      <c r="P116" s="76">
        <f t="shared" si="7"/>
        <v>0</v>
      </c>
    </row>
    <row r="117" spans="1:16">
      <c r="A117" t="s">
        <v>514</v>
      </c>
      <c r="B117" t="s">
        <v>80</v>
      </c>
      <c r="C117">
        <v>0</v>
      </c>
      <c r="E117">
        <f t="shared" si="8"/>
        <v>33</v>
      </c>
      <c r="M117">
        <v>3850.9118521213531</v>
      </c>
      <c r="N117">
        <v>428.8</v>
      </c>
      <c r="O117">
        <v>428.8</v>
      </c>
      <c r="P117" s="76">
        <f t="shared" si="7"/>
        <v>0</v>
      </c>
    </row>
  </sheetData>
  <autoFilter ref="A1:V117" xr:uid="{0B755C53-E771-44C0-A193-8A3BFDA429DB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1E029-33AE-4694-9F05-9221CFB3B72E}">
  <sheetPr codeName="Planilha3"/>
  <dimension ref="A1:AJ45"/>
  <sheetViews>
    <sheetView topLeftCell="B1" zoomScale="85" zoomScaleNormal="85" workbookViewId="0">
      <selection activeCell="U3" sqref="U3"/>
    </sheetView>
  </sheetViews>
  <sheetFormatPr defaultRowHeight="14.4"/>
  <cols>
    <col min="2" max="2" width="24.109375" customWidth="1"/>
    <col min="3" max="3" width="17.88671875" bestFit="1" customWidth="1"/>
    <col min="9" max="12" width="0" hidden="1" customWidth="1"/>
    <col min="22" max="22" width="11.5546875" bestFit="1" customWidth="1"/>
    <col min="27" max="27" width="19.88671875" customWidth="1"/>
  </cols>
  <sheetData>
    <row r="1" spans="1:36">
      <c r="A1" t="s">
        <v>155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  <c r="Q1" t="s">
        <v>48</v>
      </c>
      <c r="S1" t="s">
        <v>49</v>
      </c>
      <c r="U1" t="s">
        <v>265</v>
      </c>
    </row>
    <row r="2" spans="1:36">
      <c r="A2" s="1" t="s">
        <v>0</v>
      </c>
      <c r="B2" t="s">
        <v>215</v>
      </c>
      <c r="C2">
        <v>0</v>
      </c>
      <c r="D2">
        <v>0</v>
      </c>
      <c r="E2">
        <v>10</v>
      </c>
      <c r="F2">
        <v>25</v>
      </c>
      <c r="G2">
        <v>27</v>
      </c>
      <c r="H2">
        <v>3</v>
      </c>
      <c r="I2">
        <v>200</v>
      </c>
      <c r="J2">
        <v>0</v>
      </c>
      <c r="K2" t="s">
        <v>1</v>
      </c>
      <c r="L2">
        <v>168.2456</v>
      </c>
      <c r="M2">
        <v>191.3</v>
      </c>
      <c r="N2">
        <v>191.3</v>
      </c>
      <c r="O2">
        <v>0</v>
      </c>
      <c r="P2">
        <v>1</v>
      </c>
      <c r="Q2">
        <v>1</v>
      </c>
      <c r="S2">
        <v>996</v>
      </c>
      <c r="T2" t="s">
        <v>228</v>
      </c>
      <c r="U2">
        <v>4</v>
      </c>
      <c r="V2" t="s">
        <v>135</v>
      </c>
      <c r="W2" t="s">
        <v>136</v>
      </c>
      <c r="X2" s="2">
        <v>46119.182766203703</v>
      </c>
      <c r="AA2" s="61" t="s">
        <v>33</v>
      </c>
      <c r="AB2" s="61" t="s">
        <v>265</v>
      </c>
      <c r="AC2" s="61" t="s">
        <v>485</v>
      </c>
      <c r="AD2" s="61" t="s">
        <v>486</v>
      </c>
      <c r="AE2" s="61" t="s">
        <v>487</v>
      </c>
      <c r="AF2" s="61" t="s">
        <v>488</v>
      </c>
      <c r="AG2" s="61" t="s">
        <v>489</v>
      </c>
      <c r="AH2" s="61" t="s">
        <v>490</v>
      </c>
      <c r="AI2" s="61" t="s">
        <v>491</v>
      </c>
      <c r="AJ2" s="61" t="s">
        <v>492</v>
      </c>
    </row>
    <row r="3" spans="1:36">
      <c r="A3" s="1" t="s">
        <v>0</v>
      </c>
      <c r="B3" t="s">
        <v>215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263.952</v>
      </c>
      <c r="M3">
        <v>191.3</v>
      </c>
      <c r="N3">
        <v>191.3</v>
      </c>
      <c r="O3">
        <v>0</v>
      </c>
      <c r="P3">
        <v>1</v>
      </c>
      <c r="Q3">
        <v>1</v>
      </c>
      <c r="S3">
        <v>1446</v>
      </c>
      <c r="T3" t="s">
        <v>231</v>
      </c>
      <c r="U3">
        <v>4</v>
      </c>
      <c r="V3" t="s">
        <v>135</v>
      </c>
      <c r="W3" t="s">
        <v>135</v>
      </c>
      <c r="X3" s="2">
        <v>46119.18582175926</v>
      </c>
      <c r="AA3" t="s">
        <v>215</v>
      </c>
      <c r="AB3">
        <v>4</v>
      </c>
      <c r="AC3">
        <v>1682456</v>
      </c>
      <c r="AD3">
        <v>263952</v>
      </c>
      <c r="AE3">
        <v>-1418504</v>
      </c>
      <c r="AF3" t="s">
        <v>493</v>
      </c>
      <c r="AG3">
        <v>996</v>
      </c>
      <c r="AH3">
        <v>1446</v>
      </c>
      <c r="AI3">
        <v>450</v>
      </c>
      <c r="AJ3" t="s">
        <v>494</v>
      </c>
    </row>
    <row r="4" spans="1:36">
      <c r="A4" s="1" t="s">
        <v>0</v>
      </c>
      <c r="B4" t="s">
        <v>215</v>
      </c>
      <c r="C4">
        <v>0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163.5549</v>
      </c>
      <c r="M4">
        <v>191.3</v>
      </c>
      <c r="N4">
        <v>191.3</v>
      </c>
      <c r="O4">
        <v>0</v>
      </c>
      <c r="P4">
        <v>1</v>
      </c>
      <c r="Q4">
        <v>1</v>
      </c>
      <c r="S4">
        <v>996</v>
      </c>
      <c r="T4" t="s">
        <v>228</v>
      </c>
      <c r="U4">
        <v>6</v>
      </c>
      <c r="V4" t="s">
        <v>135</v>
      </c>
      <c r="W4" t="s">
        <v>136</v>
      </c>
      <c r="X4" s="2">
        <v>46119.187719907408</v>
      </c>
      <c r="AA4" t="s">
        <v>215</v>
      </c>
      <c r="AB4">
        <v>6</v>
      </c>
      <c r="AC4">
        <v>1635549</v>
      </c>
      <c r="AD4">
        <v>2860176</v>
      </c>
      <c r="AE4">
        <v>1224627</v>
      </c>
      <c r="AF4" t="s">
        <v>494</v>
      </c>
      <c r="AG4">
        <v>996</v>
      </c>
      <c r="AH4">
        <v>1446</v>
      </c>
      <c r="AI4">
        <v>450</v>
      </c>
      <c r="AJ4" t="s">
        <v>494</v>
      </c>
    </row>
    <row r="5" spans="1:36">
      <c r="A5" s="1" t="s">
        <v>0</v>
      </c>
      <c r="B5" t="s">
        <v>215</v>
      </c>
      <c r="C5">
        <v>0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286.01760000000002</v>
      </c>
      <c r="M5">
        <v>191.3</v>
      </c>
      <c r="N5">
        <v>191.3</v>
      </c>
      <c r="O5">
        <v>0</v>
      </c>
      <c r="P5">
        <v>1</v>
      </c>
      <c r="Q5">
        <v>1</v>
      </c>
      <c r="S5">
        <v>1446</v>
      </c>
      <c r="T5" t="s">
        <v>231</v>
      </c>
      <c r="U5">
        <v>6</v>
      </c>
      <c r="V5" t="s">
        <v>135</v>
      </c>
      <c r="W5" t="s">
        <v>135</v>
      </c>
      <c r="X5" s="2">
        <v>46119.191030092596</v>
      </c>
      <c r="AA5" t="s">
        <v>216</v>
      </c>
      <c r="AB5">
        <v>2</v>
      </c>
      <c r="AC5">
        <v>4573505</v>
      </c>
      <c r="AD5">
        <v>4351895</v>
      </c>
      <c r="AE5">
        <v>-221610</v>
      </c>
      <c r="AF5" t="s">
        <v>493</v>
      </c>
      <c r="AG5">
        <v>2001</v>
      </c>
      <c r="AH5">
        <v>2574</v>
      </c>
      <c r="AI5">
        <v>573</v>
      </c>
      <c r="AJ5" t="s">
        <v>494</v>
      </c>
    </row>
    <row r="6" spans="1:36">
      <c r="A6" s="1" t="s">
        <v>0</v>
      </c>
      <c r="B6" t="s">
        <v>216</v>
      </c>
      <c r="C6">
        <v>0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457.35050000000001</v>
      </c>
      <c r="M6">
        <v>190.3</v>
      </c>
      <c r="N6">
        <v>190.3</v>
      </c>
      <c r="O6">
        <v>0</v>
      </c>
      <c r="P6">
        <v>1</v>
      </c>
      <c r="Q6">
        <v>1</v>
      </c>
      <c r="S6">
        <v>2001</v>
      </c>
      <c r="T6" t="s">
        <v>228</v>
      </c>
      <c r="U6">
        <v>2</v>
      </c>
      <c r="V6" t="s">
        <v>139</v>
      </c>
      <c r="W6" t="s">
        <v>139</v>
      </c>
      <c r="X6" s="2">
        <v>46119.20784722222</v>
      </c>
      <c r="AA6" t="s">
        <v>216</v>
      </c>
      <c r="AB6">
        <v>4</v>
      </c>
      <c r="AC6">
        <v>408573</v>
      </c>
      <c r="AD6">
        <v>4349023</v>
      </c>
      <c r="AE6">
        <v>3940450</v>
      </c>
      <c r="AF6" t="s">
        <v>494</v>
      </c>
      <c r="AG6">
        <v>2001</v>
      </c>
      <c r="AH6">
        <v>2574</v>
      </c>
      <c r="AI6">
        <v>573</v>
      </c>
      <c r="AJ6" t="s">
        <v>494</v>
      </c>
    </row>
    <row r="7" spans="1:36">
      <c r="A7" s="1" t="s">
        <v>0</v>
      </c>
      <c r="B7" t="s">
        <v>216</v>
      </c>
      <c r="C7">
        <v>0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435.18950000000001</v>
      </c>
      <c r="M7">
        <v>190.3</v>
      </c>
      <c r="N7">
        <v>190.3</v>
      </c>
      <c r="O7">
        <v>0</v>
      </c>
      <c r="P7">
        <v>1</v>
      </c>
      <c r="Q7">
        <v>1</v>
      </c>
      <c r="S7">
        <v>2574</v>
      </c>
      <c r="T7" t="s">
        <v>231</v>
      </c>
      <c r="U7">
        <v>2</v>
      </c>
      <c r="V7" t="s">
        <v>139</v>
      </c>
      <c r="W7" t="s">
        <v>139</v>
      </c>
      <c r="X7" s="2">
        <v>46119.212881944448</v>
      </c>
      <c r="AA7" t="s">
        <v>216</v>
      </c>
      <c r="AB7">
        <v>6</v>
      </c>
      <c r="AC7">
        <v>4077031</v>
      </c>
      <c r="AD7">
        <v>4339203</v>
      </c>
      <c r="AE7">
        <v>262172</v>
      </c>
      <c r="AF7" t="s">
        <v>494</v>
      </c>
      <c r="AG7">
        <v>2001</v>
      </c>
      <c r="AH7">
        <v>2574</v>
      </c>
      <c r="AI7">
        <v>573</v>
      </c>
      <c r="AJ7" t="s">
        <v>494</v>
      </c>
    </row>
    <row r="8" spans="1:36">
      <c r="A8" s="1" t="s">
        <v>0</v>
      </c>
      <c r="B8" t="s">
        <v>216</v>
      </c>
      <c r="C8">
        <v>0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408.57299999999998</v>
      </c>
      <c r="M8">
        <v>190.3</v>
      </c>
      <c r="N8">
        <v>190.3</v>
      </c>
      <c r="O8">
        <v>0</v>
      </c>
      <c r="P8">
        <v>1</v>
      </c>
      <c r="Q8">
        <v>1</v>
      </c>
      <c r="S8">
        <v>2001</v>
      </c>
      <c r="T8" t="s">
        <v>228</v>
      </c>
      <c r="U8">
        <v>4</v>
      </c>
      <c r="V8" t="s">
        <v>139</v>
      </c>
      <c r="W8" t="s">
        <v>139</v>
      </c>
      <c r="X8" s="2">
        <v>46119.217604166668</v>
      </c>
      <c r="AA8" t="s">
        <v>216</v>
      </c>
      <c r="AB8">
        <v>8</v>
      </c>
      <c r="AC8">
        <v>4070304</v>
      </c>
      <c r="AD8">
        <v>4341616</v>
      </c>
      <c r="AE8">
        <v>271312</v>
      </c>
      <c r="AF8" t="s">
        <v>494</v>
      </c>
      <c r="AG8">
        <v>2001</v>
      </c>
      <c r="AH8">
        <v>2574</v>
      </c>
      <c r="AI8">
        <v>573</v>
      </c>
      <c r="AJ8" t="s">
        <v>494</v>
      </c>
    </row>
    <row r="9" spans="1:36">
      <c r="A9" s="1" t="s">
        <v>0</v>
      </c>
      <c r="B9" t="s">
        <v>216</v>
      </c>
      <c r="C9">
        <v>0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434.90230000000003</v>
      </c>
      <c r="M9">
        <v>190.3</v>
      </c>
      <c r="N9">
        <v>190.3</v>
      </c>
      <c r="O9">
        <v>0</v>
      </c>
      <c r="P9">
        <v>1</v>
      </c>
      <c r="Q9">
        <v>1</v>
      </c>
      <c r="S9">
        <v>2574</v>
      </c>
      <c r="T9" t="s">
        <v>231</v>
      </c>
      <c r="U9">
        <v>4</v>
      </c>
      <c r="V9" t="s">
        <v>139</v>
      </c>
      <c r="W9" t="s">
        <v>139</v>
      </c>
      <c r="X9" s="2">
        <v>46119.222638888888</v>
      </c>
      <c r="AA9" t="s">
        <v>217</v>
      </c>
      <c r="AB9">
        <v>2</v>
      </c>
      <c r="AC9">
        <v>5438641</v>
      </c>
      <c r="AD9">
        <v>4698999</v>
      </c>
      <c r="AE9">
        <v>-739642</v>
      </c>
      <c r="AF9" t="s">
        <v>493</v>
      </c>
      <c r="AG9">
        <v>1653</v>
      </c>
      <c r="AH9">
        <v>2034</v>
      </c>
      <c r="AI9">
        <v>381</v>
      </c>
      <c r="AJ9" t="s">
        <v>494</v>
      </c>
    </row>
    <row r="10" spans="1:36">
      <c r="A10" s="1" t="s">
        <v>0</v>
      </c>
      <c r="B10" t="s">
        <v>216</v>
      </c>
      <c r="C10">
        <v>0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407.70310000000001</v>
      </c>
      <c r="M10">
        <v>190.3</v>
      </c>
      <c r="N10">
        <v>190.3</v>
      </c>
      <c r="O10">
        <v>0</v>
      </c>
      <c r="P10">
        <v>1</v>
      </c>
      <c r="Q10">
        <v>1</v>
      </c>
      <c r="S10">
        <v>2001</v>
      </c>
      <c r="T10" t="s">
        <v>228</v>
      </c>
      <c r="U10">
        <v>6</v>
      </c>
      <c r="V10" t="s">
        <v>139</v>
      </c>
      <c r="W10" t="s">
        <v>139</v>
      </c>
      <c r="X10" s="2">
        <v>46119.227361111109</v>
      </c>
      <c r="AA10" t="s">
        <v>217</v>
      </c>
      <c r="AB10">
        <v>4</v>
      </c>
      <c r="AC10">
        <v>5435429</v>
      </c>
      <c r="AD10">
        <v>4718062</v>
      </c>
      <c r="AE10">
        <v>-717367</v>
      </c>
      <c r="AF10" t="s">
        <v>493</v>
      </c>
      <c r="AG10">
        <v>1653</v>
      </c>
      <c r="AH10">
        <v>2034</v>
      </c>
      <c r="AI10">
        <v>381</v>
      </c>
      <c r="AJ10" t="s">
        <v>494</v>
      </c>
    </row>
    <row r="11" spans="1:36">
      <c r="A11" s="1" t="s">
        <v>0</v>
      </c>
      <c r="B11" t="s">
        <v>216</v>
      </c>
      <c r="C11">
        <v>0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433.9203</v>
      </c>
      <c r="M11">
        <v>190.3</v>
      </c>
      <c r="N11">
        <v>190.3</v>
      </c>
      <c r="O11">
        <v>0</v>
      </c>
      <c r="P11">
        <v>1</v>
      </c>
      <c r="Q11">
        <v>1</v>
      </c>
      <c r="S11">
        <v>2574</v>
      </c>
      <c r="T11" t="s">
        <v>231</v>
      </c>
      <c r="U11">
        <v>6</v>
      </c>
      <c r="V11" t="s">
        <v>139</v>
      </c>
      <c r="W11" t="s">
        <v>139</v>
      </c>
      <c r="X11" s="2">
        <v>46119.23238425926</v>
      </c>
      <c r="AA11" t="s">
        <v>217</v>
      </c>
      <c r="AB11">
        <v>6</v>
      </c>
      <c r="AC11">
        <v>5441082</v>
      </c>
      <c r="AD11">
        <v>4730568</v>
      </c>
      <c r="AE11">
        <v>-710514</v>
      </c>
      <c r="AF11" t="s">
        <v>493</v>
      </c>
      <c r="AG11">
        <v>1653</v>
      </c>
      <c r="AH11">
        <v>2034</v>
      </c>
      <c r="AI11">
        <v>381</v>
      </c>
      <c r="AJ11" t="s">
        <v>494</v>
      </c>
    </row>
    <row r="12" spans="1:36">
      <c r="A12" s="1" t="s">
        <v>0</v>
      </c>
      <c r="B12" t="s">
        <v>216</v>
      </c>
      <c r="C12">
        <v>0</v>
      </c>
      <c r="D12">
        <v>0</v>
      </c>
      <c r="E12">
        <v>10</v>
      </c>
      <c r="F12">
        <v>25</v>
      </c>
      <c r="G12">
        <v>27</v>
      </c>
      <c r="H12">
        <v>3</v>
      </c>
      <c r="I12">
        <v>200</v>
      </c>
      <c r="J12">
        <v>0</v>
      </c>
      <c r="K12" t="s">
        <v>1</v>
      </c>
      <c r="L12">
        <v>407.03039999999999</v>
      </c>
      <c r="M12">
        <v>190.3</v>
      </c>
      <c r="N12">
        <v>190.3</v>
      </c>
      <c r="O12">
        <v>0</v>
      </c>
      <c r="P12">
        <v>1</v>
      </c>
      <c r="Q12">
        <v>1</v>
      </c>
      <c r="S12">
        <v>2001</v>
      </c>
      <c r="T12" t="s">
        <v>228</v>
      </c>
      <c r="U12">
        <v>8</v>
      </c>
      <c r="V12" t="s">
        <v>139</v>
      </c>
      <c r="W12" t="s">
        <v>139</v>
      </c>
      <c r="X12" s="2">
        <v>46119.23709490741</v>
      </c>
      <c r="AA12" t="s">
        <v>217</v>
      </c>
      <c r="AB12">
        <v>8</v>
      </c>
      <c r="AC12">
        <v>5451322</v>
      </c>
      <c r="AD12">
        <v>470683</v>
      </c>
      <c r="AE12">
        <v>-4980639</v>
      </c>
      <c r="AF12" t="s">
        <v>493</v>
      </c>
      <c r="AG12">
        <v>1653</v>
      </c>
      <c r="AH12">
        <v>2034</v>
      </c>
      <c r="AI12">
        <v>381</v>
      </c>
      <c r="AJ12" t="s">
        <v>494</v>
      </c>
    </row>
    <row r="13" spans="1:36">
      <c r="A13" s="1" t="s">
        <v>0</v>
      </c>
      <c r="B13" t="s">
        <v>216</v>
      </c>
      <c r="C13">
        <v>0</v>
      </c>
      <c r="D13">
        <v>0</v>
      </c>
      <c r="E13">
        <v>10</v>
      </c>
      <c r="F13">
        <v>25</v>
      </c>
      <c r="G13">
        <v>27</v>
      </c>
      <c r="H13">
        <v>3</v>
      </c>
      <c r="I13">
        <v>200</v>
      </c>
      <c r="J13">
        <v>0</v>
      </c>
      <c r="K13" t="s">
        <v>1</v>
      </c>
      <c r="L13">
        <v>434.16160000000002</v>
      </c>
      <c r="M13">
        <v>190.3</v>
      </c>
      <c r="N13">
        <v>190.3</v>
      </c>
      <c r="O13">
        <v>0</v>
      </c>
      <c r="P13">
        <v>1</v>
      </c>
      <c r="Q13">
        <v>1</v>
      </c>
      <c r="S13">
        <v>2574</v>
      </c>
      <c r="T13" t="s">
        <v>231</v>
      </c>
      <c r="U13">
        <v>8</v>
      </c>
      <c r="V13" t="s">
        <v>139</v>
      </c>
      <c r="W13" t="s">
        <v>139</v>
      </c>
      <c r="X13" s="2">
        <v>46119.242118055554</v>
      </c>
      <c r="AA13" t="s">
        <v>218</v>
      </c>
      <c r="AB13">
        <v>2</v>
      </c>
      <c r="AC13">
        <v>4521228</v>
      </c>
      <c r="AD13">
        <v>17395288</v>
      </c>
      <c r="AE13">
        <v>12874060</v>
      </c>
      <c r="AF13" t="s">
        <v>494</v>
      </c>
      <c r="AG13">
        <v>1755</v>
      </c>
      <c r="AH13">
        <v>2928</v>
      </c>
      <c r="AI13">
        <v>1173</v>
      </c>
      <c r="AJ13" t="s">
        <v>494</v>
      </c>
    </row>
    <row r="14" spans="1:36">
      <c r="A14" s="1" t="s">
        <v>0</v>
      </c>
      <c r="B14" t="s">
        <v>217</v>
      </c>
      <c r="C14">
        <v>0</v>
      </c>
      <c r="D14">
        <v>0</v>
      </c>
      <c r="E14">
        <v>10</v>
      </c>
      <c r="F14">
        <v>25</v>
      </c>
      <c r="G14">
        <v>27</v>
      </c>
      <c r="H14">
        <v>3</v>
      </c>
      <c r="I14">
        <v>200</v>
      </c>
      <c r="J14">
        <v>0</v>
      </c>
      <c r="K14" t="s">
        <v>1</v>
      </c>
      <c r="L14">
        <v>543.86410000000001</v>
      </c>
      <c r="M14">
        <v>190.3</v>
      </c>
      <c r="N14">
        <v>190.3</v>
      </c>
      <c r="O14">
        <v>0</v>
      </c>
      <c r="P14">
        <v>1</v>
      </c>
      <c r="Q14">
        <v>1</v>
      </c>
      <c r="S14">
        <v>1653</v>
      </c>
      <c r="T14" t="s">
        <v>228</v>
      </c>
      <c r="U14">
        <v>2</v>
      </c>
      <c r="V14" t="s">
        <v>141</v>
      </c>
      <c r="W14" t="s">
        <v>264</v>
      </c>
      <c r="X14" s="2">
        <v>46119.249108796299</v>
      </c>
      <c r="AA14" t="s">
        <v>218</v>
      </c>
      <c r="AB14">
        <v>4</v>
      </c>
      <c r="AC14">
        <v>4516329</v>
      </c>
      <c r="AD14">
        <v>17552417</v>
      </c>
      <c r="AE14">
        <v>13036088</v>
      </c>
      <c r="AF14" t="s">
        <v>494</v>
      </c>
      <c r="AG14">
        <v>1755</v>
      </c>
      <c r="AH14">
        <v>2928</v>
      </c>
      <c r="AI14">
        <v>1173</v>
      </c>
      <c r="AJ14" t="s">
        <v>494</v>
      </c>
    </row>
    <row r="15" spans="1:36">
      <c r="A15" s="1" t="s">
        <v>0</v>
      </c>
      <c r="B15" t="s">
        <v>217</v>
      </c>
      <c r="C15">
        <v>0</v>
      </c>
      <c r="D15">
        <v>0</v>
      </c>
      <c r="E15">
        <v>10</v>
      </c>
      <c r="F15">
        <v>25</v>
      </c>
      <c r="G15">
        <v>27</v>
      </c>
      <c r="H15">
        <v>3</v>
      </c>
      <c r="I15">
        <v>200</v>
      </c>
      <c r="J15">
        <v>0</v>
      </c>
      <c r="K15" t="s">
        <v>1</v>
      </c>
      <c r="L15">
        <v>469.8999</v>
      </c>
      <c r="M15">
        <v>190.3</v>
      </c>
      <c r="N15">
        <v>190.3</v>
      </c>
      <c r="O15">
        <v>0</v>
      </c>
      <c r="P15">
        <v>1</v>
      </c>
      <c r="Q15">
        <v>1</v>
      </c>
      <c r="S15">
        <v>2034</v>
      </c>
      <c r="T15" t="s">
        <v>231</v>
      </c>
      <c r="U15">
        <v>2</v>
      </c>
      <c r="V15" t="s">
        <v>141</v>
      </c>
      <c r="W15" t="s">
        <v>264</v>
      </c>
      <c r="X15" s="2">
        <v>46119.254548611112</v>
      </c>
      <c r="AA15" t="s">
        <v>218</v>
      </c>
      <c r="AB15">
        <v>6</v>
      </c>
      <c r="AC15">
        <v>4523297</v>
      </c>
      <c r="AD15">
        <v>1588244</v>
      </c>
      <c r="AE15">
        <v>-2935053</v>
      </c>
      <c r="AF15" t="s">
        <v>493</v>
      </c>
      <c r="AG15">
        <v>1755</v>
      </c>
      <c r="AH15">
        <v>2838</v>
      </c>
      <c r="AI15">
        <v>1083</v>
      </c>
      <c r="AJ15" t="s">
        <v>494</v>
      </c>
    </row>
    <row r="16" spans="1:36">
      <c r="A16" s="1" t="s">
        <v>0</v>
      </c>
      <c r="B16" t="s">
        <v>217</v>
      </c>
      <c r="C16">
        <v>0</v>
      </c>
      <c r="D16">
        <v>0</v>
      </c>
      <c r="E16">
        <v>10</v>
      </c>
      <c r="F16">
        <v>25</v>
      </c>
      <c r="G16">
        <v>27</v>
      </c>
      <c r="H16">
        <v>3</v>
      </c>
      <c r="I16">
        <v>200</v>
      </c>
      <c r="J16">
        <v>0</v>
      </c>
      <c r="K16" t="s">
        <v>1</v>
      </c>
      <c r="L16">
        <v>543.54290000000003</v>
      </c>
      <c r="M16">
        <v>190.3</v>
      </c>
      <c r="N16">
        <v>190.3</v>
      </c>
      <c r="O16">
        <v>0</v>
      </c>
      <c r="P16">
        <v>1</v>
      </c>
      <c r="Q16">
        <v>1</v>
      </c>
      <c r="S16">
        <v>1653</v>
      </c>
      <c r="T16" t="s">
        <v>228</v>
      </c>
      <c r="U16">
        <v>4</v>
      </c>
      <c r="V16" t="s">
        <v>141</v>
      </c>
      <c r="W16" t="s">
        <v>264</v>
      </c>
      <c r="X16" s="2">
        <v>46119.260844907411</v>
      </c>
      <c r="AA16" t="s">
        <v>218</v>
      </c>
      <c r="AB16">
        <v>8</v>
      </c>
      <c r="AC16">
        <v>4525872</v>
      </c>
      <c r="AE16">
        <v>-4525872</v>
      </c>
      <c r="AF16" t="s">
        <v>493</v>
      </c>
      <c r="AG16">
        <v>1755</v>
      </c>
      <c r="AI16">
        <v>-1755</v>
      </c>
      <c r="AJ16" t="s">
        <v>493</v>
      </c>
    </row>
    <row r="17" spans="1:36">
      <c r="A17" s="1" t="s">
        <v>0</v>
      </c>
      <c r="B17" t="s">
        <v>217</v>
      </c>
      <c r="C17">
        <v>0</v>
      </c>
      <c r="D17">
        <v>0</v>
      </c>
      <c r="E17">
        <v>10</v>
      </c>
      <c r="F17">
        <v>25</v>
      </c>
      <c r="G17">
        <v>27</v>
      </c>
      <c r="H17">
        <v>3</v>
      </c>
      <c r="I17">
        <v>200</v>
      </c>
      <c r="J17">
        <v>0</v>
      </c>
      <c r="K17" t="s">
        <v>1</v>
      </c>
      <c r="L17">
        <v>471.80619999999999</v>
      </c>
      <c r="M17">
        <v>190.3</v>
      </c>
      <c r="N17">
        <v>190.3</v>
      </c>
      <c r="O17">
        <v>0</v>
      </c>
      <c r="P17">
        <v>1</v>
      </c>
      <c r="Q17">
        <v>1</v>
      </c>
      <c r="S17">
        <v>2034</v>
      </c>
      <c r="T17" t="s">
        <v>231</v>
      </c>
      <c r="U17">
        <v>4</v>
      </c>
      <c r="V17" t="s">
        <v>141</v>
      </c>
      <c r="W17" t="s">
        <v>264</v>
      </c>
      <c r="X17" s="2">
        <v>46119.26630787037</v>
      </c>
      <c r="AA17" t="s">
        <v>220</v>
      </c>
      <c r="AB17">
        <v>2</v>
      </c>
      <c r="AC17">
        <v>2562144</v>
      </c>
      <c r="AD17">
        <v>3029805</v>
      </c>
      <c r="AE17">
        <v>467661</v>
      </c>
      <c r="AF17" t="s">
        <v>494</v>
      </c>
      <c r="AG17">
        <v>1539</v>
      </c>
      <c r="AH17">
        <v>1734</v>
      </c>
      <c r="AI17">
        <v>195</v>
      </c>
      <c r="AJ17" t="s">
        <v>494</v>
      </c>
    </row>
    <row r="18" spans="1:36">
      <c r="A18" s="1" t="s">
        <v>0</v>
      </c>
      <c r="B18" t="s">
        <v>217</v>
      </c>
      <c r="C18">
        <v>0</v>
      </c>
      <c r="D18">
        <v>0</v>
      </c>
      <c r="E18">
        <v>10</v>
      </c>
      <c r="F18">
        <v>25</v>
      </c>
      <c r="G18">
        <v>27</v>
      </c>
      <c r="H18">
        <v>3</v>
      </c>
      <c r="I18">
        <v>200</v>
      </c>
      <c r="J18">
        <v>0</v>
      </c>
      <c r="K18" t="s">
        <v>1</v>
      </c>
      <c r="L18">
        <v>544.10820000000001</v>
      </c>
      <c r="M18">
        <v>190.3</v>
      </c>
      <c r="N18">
        <v>190.3</v>
      </c>
      <c r="O18">
        <v>0</v>
      </c>
      <c r="P18">
        <v>1</v>
      </c>
      <c r="Q18">
        <v>1</v>
      </c>
      <c r="S18">
        <v>1653</v>
      </c>
      <c r="T18" t="s">
        <v>228</v>
      </c>
      <c r="U18">
        <v>6</v>
      </c>
      <c r="V18" t="s">
        <v>141</v>
      </c>
      <c r="W18" t="s">
        <v>264</v>
      </c>
      <c r="X18" s="2">
        <v>46119.272604166668</v>
      </c>
      <c r="AA18" t="s">
        <v>220</v>
      </c>
      <c r="AB18">
        <v>4</v>
      </c>
      <c r="AC18">
        <v>4014372</v>
      </c>
      <c r="AD18">
        <v>1281723</v>
      </c>
      <c r="AE18">
        <v>-2732649</v>
      </c>
      <c r="AF18" t="s">
        <v>493</v>
      </c>
      <c r="AG18">
        <v>1539</v>
      </c>
      <c r="AH18">
        <v>1734</v>
      </c>
      <c r="AI18">
        <v>195</v>
      </c>
      <c r="AJ18" t="s">
        <v>494</v>
      </c>
    </row>
    <row r="19" spans="1:36">
      <c r="A19" s="1" t="s">
        <v>0</v>
      </c>
      <c r="B19" t="s">
        <v>217</v>
      </c>
      <c r="C19">
        <v>0</v>
      </c>
      <c r="D19">
        <v>0</v>
      </c>
      <c r="E19">
        <v>10</v>
      </c>
      <c r="F19">
        <v>25</v>
      </c>
      <c r="G19">
        <v>27</v>
      </c>
      <c r="H19">
        <v>3</v>
      </c>
      <c r="I19">
        <v>200</v>
      </c>
      <c r="J19">
        <v>0</v>
      </c>
      <c r="K19" t="s">
        <v>1</v>
      </c>
      <c r="L19">
        <v>473.05680000000001</v>
      </c>
      <c r="M19">
        <v>190.3</v>
      </c>
      <c r="N19">
        <v>190.3</v>
      </c>
      <c r="O19">
        <v>0</v>
      </c>
      <c r="P19">
        <v>1</v>
      </c>
      <c r="Q19">
        <v>1</v>
      </c>
      <c r="S19">
        <v>2034</v>
      </c>
      <c r="T19" t="s">
        <v>231</v>
      </c>
      <c r="U19">
        <v>6</v>
      </c>
      <c r="V19" t="s">
        <v>141</v>
      </c>
      <c r="W19" t="s">
        <v>264</v>
      </c>
      <c r="X19" s="2">
        <v>46119.278078703705</v>
      </c>
      <c r="AA19" t="s">
        <v>220</v>
      </c>
      <c r="AB19">
        <v>6</v>
      </c>
      <c r="AC19">
        <v>2068982</v>
      </c>
      <c r="AD19">
        <v>2301151</v>
      </c>
      <c r="AE19">
        <v>232169</v>
      </c>
      <c r="AF19" t="s">
        <v>494</v>
      </c>
      <c r="AG19">
        <v>1539</v>
      </c>
      <c r="AH19">
        <v>1734</v>
      </c>
      <c r="AI19">
        <v>195</v>
      </c>
      <c r="AJ19" t="s">
        <v>494</v>
      </c>
    </row>
    <row r="20" spans="1:36">
      <c r="A20" s="1" t="s">
        <v>0</v>
      </c>
      <c r="B20" t="s">
        <v>217</v>
      </c>
      <c r="C20">
        <v>0</v>
      </c>
      <c r="D20">
        <v>0</v>
      </c>
      <c r="E20">
        <v>10</v>
      </c>
      <c r="F20">
        <v>25</v>
      </c>
      <c r="G20">
        <v>27</v>
      </c>
      <c r="H20">
        <v>3</v>
      </c>
      <c r="I20">
        <v>200</v>
      </c>
      <c r="J20">
        <v>0</v>
      </c>
      <c r="K20" t="s">
        <v>1</v>
      </c>
      <c r="L20">
        <v>545.13220000000001</v>
      </c>
      <c r="M20">
        <v>190.3</v>
      </c>
      <c r="N20">
        <v>190.3</v>
      </c>
      <c r="O20">
        <v>0</v>
      </c>
      <c r="P20">
        <v>1</v>
      </c>
      <c r="Q20">
        <v>1</v>
      </c>
      <c r="S20">
        <v>1653</v>
      </c>
      <c r="T20" t="s">
        <v>228</v>
      </c>
      <c r="U20">
        <v>8</v>
      </c>
      <c r="V20" t="s">
        <v>141</v>
      </c>
      <c r="W20" t="s">
        <v>264</v>
      </c>
      <c r="X20" s="2">
        <v>46119.284386574072</v>
      </c>
      <c r="AA20" t="s">
        <v>220</v>
      </c>
      <c r="AB20">
        <v>8</v>
      </c>
      <c r="AC20">
        <v>3797966</v>
      </c>
      <c r="AD20">
        <v>1278826</v>
      </c>
      <c r="AE20">
        <v>-2519140</v>
      </c>
      <c r="AF20" t="s">
        <v>493</v>
      </c>
      <c r="AG20">
        <v>1539</v>
      </c>
      <c r="AH20">
        <v>1734</v>
      </c>
      <c r="AI20">
        <v>195</v>
      </c>
      <c r="AJ20" t="s">
        <v>494</v>
      </c>
    </row>
    <row r="21" spans="1:36">
      <c r="A21" s="1" t="s">
        <v>0</v>
      </c>
      <c r="B21" t="s">
        <v>217</v>
      </c>
      <c r="C21">
        <v>0</v>
      </c>
      <c r="D21">
        <v>0</v>
      </c>
      <c r="E21">
        <v>10</v>
      </c>
      <c r="F21">
        <v>25</v>
      </c>
      <c r="G21">
        <v>27</v>
      </c>
      <c r="H21">
        <v>3</v>
      </c>
      <c r="I21">
        <v>200</v>
      </c>
      <c r="J21">
        <v>0</v>
      </c>
      <c r="K21" t="s">
        <v>1</v>
      </c>
      <c r="L21">
        <v>470.68299999999999</v>
      </c>
      <c r="M21">
        <v>190.3</v>
      </c>
      <c r="N21">
        <v>190.3</v>
      </c>
      <c r="O21">
        <v>0</v>
      </c>
      <c r="P21">
        <v>1</v>
      </c>
      <c r="Q21">
        <v>1</v>
      </c>
      <c r="S21">
        <v>2034</v>
      </c>
      <c r="T21" t="s">
        <v>231</v>
      </c>
      <c r="U21">
        <v>8</v>
      </c>
      <c r="V21" t="s">
        <v>141</v>
      </c>
      <c r="W21" t="s">
        <v>264</v>
      </c>
      <c r="X21" s="2">
        <v>46119.289837962962</v>
      </c>
      <c r="AA21" t="s">
        <v>221</v>
      </c>
      <c r="AB21">
        <v>2</v>
      </c>
      <c r="AC21">
        <v>892724</v>
      </c>
      <c r="AD21">
        <v>2000011</v>
      </c>
      <c r="AE21">
        <v>1107287</v>
      </c>
      <c r="AF21" t="s">
        <v>494</v>
      </c>
      <c r="AG21">
        <v>1050</v>
      </c>
      <c r="AH21">
        <v>1425</v>
      </c>
      <c r="AI21">
        <v>375</v>
      </c>
      <c r="AJ21" t="s">
        <v>494</v>
      </c>
    </row>
    <row r="22" spans="1:36">
      <c r="A22" s="1" t="s">
        <v>0</v>
      </c>
      <c r="B22" t="s">
        <v>218</v>
      </c>
      <c r="C22">
        <v>0</v>
      </c>
      <c r="D22">
        <v>0</v>
      </c>
      <c r="E22">
        <v>10</v>
      </c>
      <c r="F22">
        <v>25</v>
      </c>
      <c r="G22">
        <v>27</v>
      </c>
      <c r="H22">
        <v>3</v>
      </c>
      <c r="I22">
        <v>200</v>
      </c>
      <c r="J22">
        <v>0</v>
      </c>
      <c r="K22" t="s">
        <v>1</v>
      </c>
      <c r="L22">
        <v>452.12279999999998</v>
      </c>
      <c r="M22">
        <v>186.9</v>
      </c>
      <c r="N22">
        <v>186.9</v>
      </c>
      <c r="O22">
        <v>0</v>
      </c>
      <c r="P22">
        <v>1</v>
      </c>
      <c r="Q22">
        <v>1</v>
      </c>
      <c r="S22">
        <v>1755</v>
      </c>
      <c r="T22" t="s">
        <v>228</v>
      </c>
      <c r="U22">
        <v>2</v>
      </c>
      <c r="V22" t="s">
        <v>143</v>
      </c>
      <c r="W22" t="s">
        <v>143</v>
      </c>
      <c r="X22" s="2">
        <v>46119.295763888891</v>
      </c>
      <c r="AA22" t="s">
        <v>221</v>
      </c>
      <c r="AB22">
        <v>4</v>
      </c>
      <c r="AC22">
        <v>940466</v>
      </c>
      <c r="AD22">
        <v>3128545</v>
      </c>
      <c r="AE22">
        <v>2188079</v>
      </c>
      <c r="AF22" t="s">
        <v>494</v>
      </c>
      <c r="AG22">
        <v>1050</v>
      </c>
      <c r="AH22">
        <v>1524</v>
      </c>
      <c r="AI22">
        <v>474</v>
      </c>
      <c r="AJ22" t="s">
        <v>494</v>
      </c>
    </row>
    <row r="23" spans="1:36">
      <c r="A23" s="1" t="s">
        <v>0</v>
      </c>
      <c r="B23" t="s">
        <v>218</v>
      </c>
      <c r="C23">
        <v>0</v>
      </c>
      <c r="D23">
        <v>0</v>
      </c>
      <c r="E23">
        <v>10</v>
      </c>
      <c r="F23">
        <v>25</v>
      </c>
      <c r="G23">
        <v>27</v>
      </c>
      <c r="H23">
        <v>3</v>
      </c>
      <c r="I23">
        <v>200</v>
      </c>
      <c r="J23">
        <v>0</v>
      </c>
      <c r="K23" t="s">
        <v>1</v>
      </c>
      <c r="L23">
        <v>1739.5288</v>
      </c>
      <c r="M23">
        <v>186.9</v>
      </c>
      <c r="N23">
        <v>186.9</v>
      </c>
      <c r="O23">
        <v>0</v>
      </c>
      <c r="P23">
        <v>1</v>
      </c>
      <c r="Q23">
        <v>1</v>
      </c>
      <c r="S23">
        <v>2928</v>
      </c>
      <c r="T23" t="s">
        <v>231</v>
      </c>
      <c r="U23">
        <v>2</v>
      </c>
      <c r="V23" t="s">
        <v>143</v>
      </c>
      <c r="W23" t="s">
        <v>143</v>
      </c>
      <c r="X23" s="2">
        <v>46119.31590277778</v>
      </c>
      <c r="AA23" t="s">
        <v>221</v>
      </c>
      <c r="AB23">
        <v>6</v>
      </c>
      <c r="AC23">
        <v>1026532</v>
      </c>
      <c r="AD23">
        <v>534669</v>
      </c>
      <c r="AE23">
        <v>-491863</v>
      </c>
      <c r="AF23" t="s">
        <v>493</v>
      </c>
      <c r="AG23">
        <v>1050</v>
      </c>
      <c r="AH23">
        <v>1785</v>
      </c>
      <c r="AI23">
        <v>735</v>
      </c>
      <c r="AJ23" t="s">
        <v>494</v>
      </c>
    </row>
    <row r="24" spans="1:36">
      <c r="A24" s="1" t="s">
        <v>0</v>
      </c>
      <c r="B24" t="s">
        <v>218</v>
      </c>
      <c r="C24">
        <v>0</v>
      </c>
      <c r="D24">
        <v>0</v>
      </c>
      <c r="E24">
        <v>10</v>
      </c>
      <c r="F24">
        <v>25</v>
      </c>
      <c r="G24">
        <v>27</v>
      </c>
      <c r="H24">
        <v>3</v>
      </c>
      <c r="I24">
        <v>200</v>
      </c>
      <c r="J24">
        <v>0</v>
      </c>
      <c r="K24" t="s">
        <v>1</v>
      </c>
      <c r="L24">
        <v>451.63290000000001</v>
      </c>
      <c r="M24">
        <v>186.9</v>
      </c>
      <c r="N24">
        <v>186.9</v>
      </c>
      <c r="O24">
        <v>0</v>
      </c>
      <c r="P24">
        <v>1</v>
      </c>
      <c r="Q24">
        <v>1</v>
      </c>
      <c r="S24">
        <v>1755</v>
      </c>
      <c r="T24" t="s">
        <v>228</v>
      </c>
      <c r="U24">
        <v>4</v>
      </c>
      <c r="V24" t="s">
        <v>143</v>
      </c>
      <c r="W24" t="s">
        <v>143</v>
      </c>
      <c r="X24" s="2">
        <v>46119.321134259262</v>
      </c>
      <c r="AA24" t="s">
        <v>221</v>
      </c>
      <c r="AB24">
        <v>8</v>
      </c>
      <c r="AC24">
        <v>2224217</v>
      </c>
      <c r="AD24">
        <v>3868347</v>
      </c>
      <c r="AE24">
        <v>1644130</v>
      </c>
      <c r="AF24" t="s">
        <v>494</v>
      </c>
      <c r="AG24">
        <v>1050</v>
      </c>
      <c r="AH24">
        <v>1479</v>
      </c>
      <c r="AI24">
        <v>429</v>
      </c>
      <c r="AJ24" t="s">
        <v>494</v>
      </c>
    </row>
    <row r="25" spans="1:36">
      <c r="A25" s="1" t="s">
        <v>0</v>
      </c>
      <c r="B25" t="s">
        <v>218</v>
      </c>
      <c r="C25">
        <v>0</v>
      </c>
      <c r="D25">
        <v>0</v>
      </c>
      <c r="E25">
        <v>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1755.2417</v>
      </c>
      <c r="M25">
        <v>186.9</v>
      </c>
      <c r="N25">
        <v>186.9</v>
      </c>
      <c r="O25">
        <v>0</v>
      </c>
      <c r="P25">
        <v>1</v>
      </c>
      <c r="Q25">
        <v>1</v>
      </c>
      <c r="S25">
        <v>2928</v>
      </c>
      <c r="T25" t="s">
        <v>231</v>
      </c>
      <c r="U25">
        <v>4</v>
      </c>
      <c r="V25" t="s">
        <v>143</v>
      </c>
      <c r="W25" t="s">
        <v>143</v>
      </c>
      <c r="X25" s="2">
        <v>46119.341446759259</v>
      </c>
      <c r="AA25" t="s">
        <v>222</v>
      </c>
      <c r="AB25">
        <v>2</v>
      </c>
      <c r="AC25">
        <v>187349</v>
      </c>
      <c r="AE25">
        <v>-187349</v>
      </c>
      <c r="AF25" t="s">
        <v>493</v>
      </c>
      <c r="AG25">
        <v>1644</v>
      </c>
      <c r="AI25">
        <v>-1644</v>
      </c>
      <c r="AJ25" t="s">
        <v>493</v>
      </c>
    </row>
    <row r="26" spans="1:36">
      <c r="A26" s="1" t="s">
        <v>0</v>
      </c>
      <c r="B26" t="s">
        <v>218</v>
      </c>
      <c r="C26">
        <v>0</v>
      </c>
      <c r="D26">
        <v>0</v>
      </c>
      <c r="E26">
        <v>10</v>
      </c>
      <c r="F26">
        <v>25</v>
      </c>
      <c r="G26">
        <v>27</v>
      </c>
      <c r="H26">
        <v>3</v>
      </c>
      <c r="I26">
        <v>200</v>
      </c>
      <c r="J26">
        <v>0</v>
      </c>
      <c r="K26" t="s">
        <v>1</v>
      </c>
      <c r="L26">
        <v>452.3297</v>
      </c>
      <c r="M26">
        <v>186.9</v>
      </c>
      <c r="N26">
        <v>186.9</v>
      </c>
      <c r="O26">
        <v>0</v>
      </c>
      <c r="P26">
        <v>1</v>
      </c>
      <c r="Q26">
        <v>1</v>
      </c>
      <c r="S26">
        <v>1755</v>
      </c>
      <c r="T26" t="s">
        <v>228</v>
      </c>
      <c r="U26">
        <v>6</v>
      </c>
      <c r="V26" t="s">
        <v>143</v>
      </c>
      <c r="W26" t="s">
        <v>143</v>
      </c>
      <c r="X26" s="2">
        <v>46119.346678240741</v>
      </c>
    </row>
    <row r="27" spans="1:36">
      <c r="A27" s="1" t="s">
        <v>0</v>
      </c>
      <c r="B27" t="s">
        <v>218</v>
      </c>
      <c r="C27">
        <v>0</v>
      </c>
      <c r="D27">
        <v>0</v>
      </c>
      <c r="E27">
        <v>10</v>
      </c>
      <c r="F27">
        <v>25</v>
      </c>
      <c r="G27">
        <v>27</v>
      </c>
      <c r="H27">
        <v>3</v>
      </c>
      <c r="I27">
        <v>200</v>
      </c>
      <c r="J27">
        <v>0</v>
      </c>
      <c r="K27" t="s">
        <v>1</v>
      </c>
      <c r="L27">
        <v>1588.2439999999999</v>
      </c>
      <c r="M27">
        <v>186.9</v>
      </c>
      <c r="N27">
        <v>186.9</v>
      </c>
      <c r="O27">
        <v>0</v>
      </c>
      <c r="P27">
        <v>1</v>
      </c>
      <c r="Q27">
        <v>1</v>
      </c>
      <c r="S27">
        <v>2838</v>
      </c>
      <c r="T27" t="s">
        <v>231</v>
      </c>
      <c r="U27">
        <v>6</v>
      </c>
      <c r="V27" t="s">
        <v>143</v>
      </c>
      <c r="W27" t="s">
        <v>219</v>
      </c>
      <c r="X27" s="2">
        <v>46119.365057870367</v>
      </c>
    </row>
    <row r="28" spans="1:36">
      <c r="A28" s="1" t="s">
        <v>0</v>
      </c>
      <c r="B28" t="s">
        <v>218</v>
      </c>
      <c r="C28">
        <v>0</v>
      </c>
      <c r="D28">
        <v>0</v>
      </c>
      <c r="E28">
        <v>10</v>
      </c>
      <c r="F28">
        <v>25</v>
      </c>
      <c r="G28">
        <v>27</v>
      </c>
      <c r="H28">
        <v>3</v>
      </c>
      <c r="I28">
        <v>200</v>
      </c>
      <c r="J28">
        <v>0</v>
      </c>
      <c r="K28" t="s">
        <v>1</v>
      </c>
      <c r="L28">
        <v>452.5872</v>
      </c>
      <c r="M28">
        <v>186.9</v>
      </c>
      <c r="N28">
        <v>186.9</v>
      </c>
      <c r="O28">
        <v>0</v>
      </c>
      <c r="P28">
        <v>1</v>
      </c>
      <c r="Q28">
        <v>1</v>
      </c>
      <c r="S28">
        <v>1755</v>
      </c>
      <c r="T28" t="s">
        <v>228</v>
      </c>
      <c r="U28">
        <v>8</v>
      </c>
      <c r="V28" t="s">
        <v>143</v>
      </c>
      <c r="W28" t="s">
        <v>143</v>
      </c>
      <c r="X28" s="2">
        <v>46119.370300925926</v>
      </c>
    </row>
    <row r="29" spans="1:36">
      <c r="A29" s="1" t="s">
        <v>0</v>
      </c>
      <c r="B29" t="s">
        <v>220</v>
      </c>
      <c r="C29">
        <v>0</v>
      </c>
      <c r="D29">
        <v>0</v>
      </c>
      <c r="E29">
        <v>10</v>
      </c>
      <c r="F29">
        <v>25</v>
      </c>
      <c r="G29">
        <v>27</v>
      </c>
      <c r="H29">
        <v>3</v>
      </c>
      <c r="I29">
        <v>200</v>
      </c>
      <c r="J29">
        <v>0</v>
      </c>
      <c r="K29" t="s">
        <v>1</v>
      </c>
      <c r="L29">
        <v>256.21440000000001</v>
      </c>
      <c r="M29">
        <v>191.3</v>
      </c>
      <c r="N29">
        <v>191.3</v>
      </c>
      <c r="O29">
        <v>0</v>
      </c>
      <c r="P29">
        <v>1</v>
      </c>
      <c r="Q29">
        <v>1</v>
      </c>
      <c r="S29">
        <v>1539</v>
      </c>
      <c r="T29" t="s">
        <v>228</v>
      </c>
      <c r="U29">
        <v>2</v>
      </c>
      <c r="V29" t="s">
        <v>146</v>
      </c>
      <c r="W29" t="s">
        <v>135</v>
      </c>
      <c r="X29" s="2">
        <v>46119.417060185187</v>
      </c>
    </row>
    <row r="30" spans="1:36">
      <c r="A30" s="1" t="s">
        <v>0</v>
      </c>
      <c r="B30" t="s">
        <v>220</v>
      </c>
      <c r="C30">
        <v>0</v>
      </c>
      <c r="D30">
        <v>0</v>
      </c>
      <c r="E30">
        <v>10</v>
      </c>
      <c r="F30">
        <v>25</v>
      </c>
      <c r="G30">
        <v>27</v>
      </c>
      <c r="H30">
        <v>3</v>
      </c>
      <c r="I30">
        <v>200</v>
      </c>
      <c r="J30">
        <v>0</v>
      </c>
      <c r="K30" t="s">
        <v>1</v>
      </c>
      <c r="L30">
        <v>302.98050000000001</v>
      </c>
      <c r="M30">
        <v>191.3</v>
      </c>
      <c r="N30">
        <v>191.3</v>
      </c>
      <c r="O30">
        <v>0</v>
      </c>
      <c r="P30">
        <v>1</v>
      </c>
      <c r="Q30">
        <v>1</v>
      </c>
      <c r="S30">
        <v>1734</v>
      </c>
      <c r="T30" t="s">
        <v>231</v>
      </c>
      <c r="U30">
        <v>2</v>
      </c>
      <c r="V30" t="s">
        <v>146</v>
      </c>
      <c r="W30" t="s">
        <v>135</v>
      </c>
      <c r="X30" s="2">
        <v>46119.420567129629</v>
      </c>
    </row>
    <row r="31" spans="1:36">
      <c r="A31" s="1" t="s">
        <v>0</v>
      </c>
      <c r="B31" t="s">
        <v>220</v>
      </c>
      <c r="C31">
        <v>0</v>
      </c>
      <c r="D31">
        <v>0</v>
      </c>
      <c r="E31">
        <v>10</v>
      </c>
      <c r="F31">
        <v>25</v>
      </c>
      <c r="G31">
        <v>27</v>
      </c>
      <c r="H31">
        <v>3</v>
      </c>
      <c r="I31">
        <v>200</v>
      </c>
      <c r="J31">
        <v>0</v>
      </c>
      <c r="K31" t="s">
        <v>1</v>
      </c>
      <c r="L31">
        <v>401.43720000000002</v>
      </c>
      <c r="M31">
        <v>191.3</v>
      </c>
      <c r="N31">
        <v>191.3</v>
      </c>
      <c r="O31">
        <v>0</v>
      </c>
      <c r="P31">
        <v>1</v>
      </c>
      <c r="Q31">
        <v>1</v>
      </c>
      <c r="S31">
        <v>1539</v>
      </c>
      <c r="T31" t="s">
        <v>228</v>
      </c>
      <c r="U31">
        <v>4</v>
      </c>
      <c r="V31" t="s">
        <v>146</v>
      </c>
      <c r="W31" t="s">
        <v>135</v>
      </c>
      <c r="X31" s="2">
        <v>46119.425208333334</v>
      </c>
    </row>
    <row r="32" spans="1:36">
      <c r="A32" s="1" t="s">
        <v>0</v>
      </c>
      <c r="B32" t="s">
        <v>220</v>
      </c>
      <c r="C32">
        <v>0</v>
      </c>
      <c r="D32">
        <v>0</v>
      </c>
      <c r="E32">
        <v>10</v>
      </c>
      <c r="F32">
        <v>25</v>
      </c>
      <c r="G32">
        <v>27</v>
      </c>
      <c r="H32">
        <v>3</v>
      </c>
      <c r="I32">
        <v>200</v>
      </c>
      <c r="J32">
        <v>0</v>
      </c>
      <c r="K32" t="s">
        <v>1</v>
      </c>
      <c r="L32">
        <v>128.17230000000001</v>
      </c>
      <c r="M32">
        <v>191.3</v>
      </c>
      <c r="N32">
        <v>191.3</v>
      </c>
      <c r="O32">
        <v>0</v>
      </c>
      <c r="P32">
        <v>1</v>
      </c>
      <c r="Q32">
        <v>1</v>
      </c>
      <c r="S32">
        <v>1734</v>
      </c>
      <c r="T32" t="s">
        <v>231</v>
      </c>
      <c r="U32">
        <v>4</v>
      </c>
      <c r="V32" t="s">
        <v>146</v>
      </c>
      <c r="W32" t="s">
        <v>135</v>
      </c>
      <c r="X32" s="2">
        <v>46119.426689814813</v>
      </c>
    </row>
    <row r="33" spans="1:24">
      <c r="A33" s="1" t="s">
        <v>0</v>
      </c>
      <c r="B33" t="s">
        <v>220</v>
      </c>
      <c r="C33">
        <v>0</v>
      </c>
      <c r="D33">
        <v>0</v>
      </c>
      <c r="E33">
        <v>10</v>
      </c>
      <c r="F33">
        <v>25</v>
      </c>
      <c r="G33">
        <v>27</v>
      </c>
      <c r="H33">
        <v>3</v>
      </c>
      <c r="I33">
        <v>200</v>
      </c>
      <c r="J33">
        <v>0</v>
      </c>
      <c r="K33" t="s">
        <v>1</v>
      </c>
      <c r="L33">
        <v>206.8982</v>
      </c>
      <c r="M33">
        <v>191.3</v>
      </c>
      <c r="N33">
        <v>191.3</v>
      </c>
      <c r="O33">
        <v>0</v>
      </c>
      <c r="P33">
        <v>1</v>
      </c>
      <c r="Q33">
        <v>1</v>
      </c>
      <c r="S33">
        <v>1539</v>
      </c>
      <c r="T33" t="s">
        <v>228</v>
      </c>
      <c r="U33">
        <v>6</v>
      </c>
      <c r="V33" t="s">
        <v>146</v>
      </c>
      <c r="W33" t="s">
        <v>135</v>
      </c>
      <c r="X33" s="2">
        <v>46119.429085648146</v>
      </c>
    </row>
    <row r="34" spans="1:24">
      <c r="A34" s="1" t="s">
        <v>0</v>
      </c>
      <c r="B34" t="s">
        <v>220</v>
      </c>
      <c r="C34">
        <v>0</v>
      </c>
      <c r="D34">
        <v>0</v>
      </c>
      <c r="E34">
        <v>10</v>
      </c>
      <c r="F34">
        <v>25</v>
      </c>
      <c r="G34">
        <v>27</v>
      </c>
      <c r="H34">
        <v>3</v>
      </c>
      <c r="I34">
        <v>200</v>
      </c>
      <c r="J34">
        <v>0</v>
      </c>
      <c r="K34" t="s">
        <v>1</v>
      </c>
      <c r="L34">
        <v>230.11510000000001</v>
      </c>
      <c r="M34">
        <v>191.3</v>
      </c>
      <c r="N34">
        <v>191.3</v>
      </c>
      <c r="O34">
        <v>0</v>
      </c>
      <c r="P34">
        <v>1</v>
      </c>
      <c r="Q34">
        <v>1</v>
      </c>
      <c r="S34">
        <v>1734</v>
      </c>
      <c r="T34" t="s">
        <v>231</v>
      </c>
      <c r="U34">
        <v>6</v>
      </c>
      <c r="V34" t="s">
        <v>146</v>
      </c>
      <c r="W34" t="s">
        <v>135</v>
      </c>
      <c r="X34" s="2">
        <v>46119.431747685187</v>
      </c>
    </row>
    <row r="35" spans="1:24">
      <c r="A35" s="1" t="s">
        <v>0</v>
      </c>
      <c r="B35" t="s">
        <v>220</v>
      </c>
      <c r="C35">
        <v>0</v>
      </c>
      <c r="D35">
        <v>0</v>
      </c>
      <c r="E35">
        <v>10</v>
      </c>
      <c r="F35">
        <v>25</v>
      </c>
      <c r="G35">
        <v>27</v>
      </c>
      <c r="H35">
        <v>3</v>
      </c>
      <c r="I35">
        <v>200</v>
      </c>
      <c r="J35">
        <v>0</v>
      </c>
      <c r="K35" t="s">
        <v>1</v>
      </c>
      <c r="L35">
        <v>379.79660000000001</v>
      </c>
      <c r="M35">
        <v>191.3</v>
      </c>
      <c r="N35">
        <v>191.3</v>
      </c>
      <c r="O35">
        <v>0</v>
      </c>
      <c r="P35">
        <v>1</v>
      </c>
      <c r="Q35">
        <v>1</v>
      </c>
      <c r="S35">
        <v>1539</v>
      </c>
      <c r="T35" t="s">
        <v>228</v>
      </c>
      <c r="U35">
        <v>8</v>
      </c>
      <c r="V35" t="s">
        <v>146</v>
      </c>
      <c r="W35" t="s">
        <v>135</v>
      </c>
      <c r="X35" s="2">
        <v>46119.436145833337</v>
      </c>
    </row>
    <row r="36" spans="1:24">
      <c r="A36" s="1" t="s">
        <v>0</v>
      </c>
      <c r="B36" t="s">
        <v>220</v>
      </c>
      <c r="C36">
        <v>0</v>
      </c>
      <c r="D36">
        <v>0</v>
      </c>
      <c r="E36">
        <v>10</v>
      </c>
      <c r="F36">
        <v>25</v>
      </c>
      <c r="G36">
        <v>27</v>
      </c>
      <c r="H36">
        <v>3</v>
      </c>
      <c r="I36">
        <v>200</v>
      </c>
      <c r="J36">
        <v>0</v>
      </c>
      <c r="K36" t="s">
        <v>1</v>
      </c>
      <c r="L36">
        <v>127.8826</v>
      </c>
      <c r="M36">
        <v>191.3</v>
      </c>
      <c r="N36">
        <v>191.3</v>
      </c>
      <c r="O36">
        <v>0</v>
      </c>
      <c r="P36">
        <v>1</v>
      </c>
      <c r="Q36">
        <v>1</v>
      </c>
      <c r="S36">
        <v>1734</v>
      </c>
      <c r="T36" t="s">
        <v>231</v>
      </c>
      <c r="U36">
        <v>8</v>
      </c>
      <c r="V36" t="s">
        <v>146</v>
      </c>
      <c r="W36" t="s">
        <v>135</v>
      </c>
      <c r="X36" s="2">
        <v>46119.437627314815</v>
      </c>
    </row>
    <row r="37" spans="1:24">
      <c r="A37" s="1" t="s">
        <v>0</v>
      </c>
      <c r="B37" t="s">
        <v>221</v>
      </c>
      <c r="C37">
        <v>0</v>
      </c>
      <c r="D37">
        <v>0</v>
      </c>
      <c r="E37">
        <v>10</v>
      </c>
      <c r="F37">
        <v>25</v>
      </c>
      <c r="G37">
        <v>27</v>
      </c>
      <c r="H37">
        <v>3</v>
      </c>
      <c r="I37">
        <v>200</v>
      </c>
      <c r="J37">
        <v>0</v>
      </c>
      <c r="K37" t="s">
        <v>1</v>
      </c>
      <c r="L37">
        <v>89.272400000000005</v>
      </c>
      <c r="M37">
        <v>191.3</v>
      </c>
      <c r="N37">
        <v>191.3</v>
      </c>
      <c r="O37">
        <v>0</v>
      </c>
      <c r="P37">
        <v>1</v>
      </c>
      <c r="Q37">
        <v>1</v>
      </c>
      <c r="S37">
        <v>1050</v>
      </c>
      <c r="T37" t="s">
        <v>228</v>
      </c>
      <c r="U37">
        <v>2</v>
      </c>
      <c r="V37" t="s">
        <v>149</v>
      </c>
      <c r="W37" t="s">
        <v>147</v>
      </c>
      <c r="X37" s="2">
        <v>46119.438657407409</v>
      </c>
    </row>
    <row r="38" spans="1:24">
      <c r="A38" s="1" t="s">
        <v>0</v>
      </c>
      <c r="B38" t="s">
        <v>221</v>
      </c>
      <c r="C38">
        <v>0</v>
      </c>
      <c r="D38">
        <v>0</v>
      </c>
      <c r="E38">
        <v>10</v>
      </c>
      <c r="F38">
        <v>25</v>
      </c>
      <c r="G38">
        <v>27</v>
      </c>
      <c r="H38">
        <v>3</v>
      </c>
      <c r="I38">
        <v>200</v>
      </c>
      <c r="J38">
        <v>0</v>
      </c>
      <c r="K38" t="s">
        <v>1</v>
      </c>
      <c r="L38">
        <v>200.00110000000001</v>
      </c>
      <c r="M38">
        <v>191.3</v>
      </c>
      <c r="N38">
        <v>191.3</v>
      </c>
      <c r="O38">
        <v>0</v>
      </c>
      <c r="P38">
        <v>1</v>
      </c>
      <c r="Q38">
        <v>1</v>
      </c>
      <c r="S38">
        <v>1425</v>
      </c>
      <c r="T38" t="s">
        <v>231</v>
      </c>
      <c r="U38">
        <v>2</v>
      </c>
      <c r="V38" t="s">
        <v>149</v>
      </c>
      <c r="W38" t="s">
        <v>136</v>
      </c>
      <c r="X38" s="2">
        <v>46119.440972222219</v>
      </c>
    </row>
    <row r="39" spans="1:24">
      <c r="A39" s="1" t="s">
        <v>0</v>
      </c>
      <c r="B39" t="s">
        <v>221</v>
      </c>
      <c r="C39">
        <v>0</v>
      </c>
      <c r="D39">
        <v>0</v>
      </c>
      <c r="E39">
        <v>10</v>
      </c>
      <c r="F39">
        <v>25</v>
      </c>
      <c r="G39">
        <v>27</v>
      </c>
      <c r="H39">
        <v>3</v>
      </c>
      <c r="I39">
        <v>200</v>
      </c>
      <c r="J39">
        <v>0</v>
      </c>
      <c r="K39" t="s">
        <v>1</v>
      </c>
      <c r="L39">
        <v>94.046599999999998</v>
      </c>
      <c r="M39">
        <v>191.3</v>
      </c>
      <c r="N39">
        <v>191.3</v>
      </c>
      <c r="O39">
        <v>0</v>
      </c>
      <c r="P39">
        <v>1</v>
      </c>
      <c r="Q39">
        <v>1</v>
      </c>
      <c r="S39">
        <v>1050</v>
      </c>
      <c r="T39" t="s">
        <v>228</v>
      </c>
      <c r="U39">
        <v>4</v>
      </c>
      <c r="V39" t="s">
        <v>149</v>
      </c>
      <c r="W39" t="s">
        <v>147</v>
      </c>
      <c r="X39" s="2">
        <v>46119.442060185182</v>
      </c>
    </row>
    <row r="40" spans="1:24">
      <c r="A40" s="1" t="s">
        <v>0</v>
      </c>
      <c r="B40" t="s">
        <v>221</v>
      </c>
      <c r="C40">
        <v>0</v>
      </c>
      <c r="D40">
        <v>0</v>
      </c>
      <c r="E40">
        <v>10</v>
      </c>
      <c r="F40">
        <v>25</v>
      </c>
      <c r="G40">
        <v>27</v>
      </c>
      <c r="H40">
        <v>3</v>
      </c>
      <c r="I40">
        <v>200</v>
      </c>
      <c r="J40">
        <v>0</v>
      </c>
      <c r="K40" t="s">
        <v>1</v>
      </c>
      <c r="L40">
        <v>312.85449999999997</v>
      </c>
      <c r="M40">
        <v>191.3</v>
      </c>
      <c r="N40">
        <v>191.3</v>
      </c>
      <c r="O40">
        <v>0</v>
      </c>
      <c r="P40">
        <v>1</v>
      </c>
      <c r="Q40">
        <v>1</v>
      </c>
      <c r="S40">
        <v>1524</v>
      </c>
      <c r="T40" t="s">
        <v>231</v>
      </c>
      <c r="U40">
        <v>4</v>
      </c>
      <c r="V40" t="s">
        <v>149</v>
      </c>
      <c r="W40" t="s">
        <v>135</v>
      </c>
      <c r="X40" s="2">
        <v>46119.44568287037</v>
      </c>
    </row>
    <row r="41" spans="1:24">
      <c r="A41" s="1" t="s">
        <v>0</v>
      </c>
      <c r="B41" t="s">
        <v>221</v>
      </c>
      <c r="C41">
        <v>0</v>
      </c>
      <c r="D41">
        <v>0</v>
      </c>
      <c r="E41">
        <v>10</v>
      </c>
      <c r="F41">
        <v>25</v>
      </c>
      <c r="G41">
        <v>27</v>
      </c>
      <c r="H41">
        <v>3</v>
      </c>
      <c r="I41">
        <v>200</v>
      </c>
      <c r="J41">
        <v>0</v>
      </c>
      <c r="K41" t="s">
        <v>1</v>
      </c>
      <c r="L41">
        <v>102.6532</v>
      </c>
      <c r="M41">
        <v>191.3</v>
      </c>
      <c r="N41">
        <v>191.3</v>
      </c>
      <c r="O41">
        <v>0</v>
      </c>
      <c r="P41">
        <v>1</v>
      </c>
      <c r="Q41">
        <v>1</v>
      </c>
      <c r="S41">
        <v>1050</v>
      </c>
      <c r="T41" t="s">
        <v>228</v>
      </c>
      <c r="U41">
        <v>6</v>
      </c>
      <c r="V41" t="s">
        <v>149</v>
      </c>
      <c r="W41" t="s">
        <v>147</v>
      </c>
      <c r="X41" s="2">
        <v>46119.446875000001</v>
      </c>
    </row>
    <row r="42" spans="1:24">
      <c r="A42" s="1" t="s">
        <v>0</v>
      </c>
      <c r="B42" t="s">
        <v>221</v>
      </c>
      <c r="C42">
        <v>0</v>
      </c>
      <c r="D42">
        <v>0</v>
      </c>
      <c r="E42">
        <v>10</v>
      </c>
      <c r="F42">
        <v>25</v>
      </c>
      <c r="G42">
        <v>27</v>
      </c>
      <c r="H42">
        <v>3</v>
      </c>
      <c r="I42">
        <v>200</v>
      </c>
      <c r="J42">
        <v>0</v>
      </c>
      <c r="K42" t="s">
        <v>1</v>
      </c>
      <c r="L42">
        <v>534.66899999999998</v>
      </c>
      <c r="M42">
        <v>191.3</v>
      </c>
      <c r="N42">
        <v>191.3</v>
      </c>
      <c r="O42">
        <v>0</v>
      </c>
      <c r="P42">
        <v>1</v>
      </c>
      <c r="Q42">
        <v>1</v>
      </c>
      <c r="S42">
        <v>1785</v>
      </c>
      <c r="T42" t="s">
        <v>231</v>
      </c>
      <c r="U42">
        <v>6</v>
      </c>
      <c r="V42" t="s">
        <v>149</v>
      </c>
      <c r="W42" t="s">
        <v>146</v>
      </c>
      <c r="X42" s="2">
        <v>46119.453067129631</v>
      </c>
    </row>
    <row r="43" spans="1:24">
      <c r="A43" s="1" t="s">
        <v>0</v>
      </c>
      <c r="B43" t="s">
        <v>221</v>
      </c>
      <c r="C43">
        <v>0</v>
      </c>
      <c r="D43">
        <v>0</v>
      </c>
      <c r="E43">
        <v>10</v>
      </c>
      <c r="F43">
        <v>25</v>
      </c>
      <c r="G43">
        <v>27</v>
      </c>
      <c r="H43">
        <v>3</v>
      </c>
      <c r="I43">
        <v>200</v>
      </c>
      <c r="J43">
        <v>0</v>
      </c>
      <c r="K43" t="s">
        <v>1</v>
      </c>
      <c r="L43">
        <v>222.42169999999999</v>
      </c>
      <c r="M43">
        <v>191.3</v>
      </c>
      <c r="N43">
        <v>191.3</v>
      </c>
      <c r="O43">
        <v>0</v>
      </c>
      <c r="P43">
        <v>1</v>
      </c>
      <c r="Q43">
        <v>1</v>
      </c>
      <c r="S43">
        <v>1050</v>
      </c>
      <c r="T43" t="s">
        <v>228</v>
      </c>
      <c r="U43">
        <v>8</v>
      </c>
      <c r="V43" t="s">
        <v>149</v>
      </c>
      <c r="W43" t="s">
        <v>147</v>
      </c>
      <c r="X43" s="2">
        <v>46119.455636574072</v>
      </c>
    </row>
    <row r="44" spans="1:24">
      <c r="A44" s="1" t="s">
        <v>0</v>
      </c>
      <c r="B44" t="s">
        <v>221</v>
      </c>
      <c r="C44">
        <v>0</v>
      </c>
      <c r="D44">
        <v>0</v>
      </c>
      <c r="E44">
        <v>10</v>
      </c>
      <c r="F44">
        <v>25</v>
      </c>
      <c r="G44">
        <v>27</v>
      </c>
      <c r="H44">
        <v>3</v>
      </c>
      <c r="I44">
        <v>200</v>
      </c>
      <c r="J44">
        <v>0</v>
      </c>
      <c r="K44" t="s">
        <v>1</v>
      </c>
      <c r="L44">
        <v>386.8347</v>
      </c>
      <c r="M44">
        <v>191.3</v>
      </c>
      <c r="N44">
        <v>191.3</v>
      </c>
      <c r="O44">
        <v>0</v>
      </c>
      <c r="P44">
        <v>1</v>
      </c>
      <c r="Q44">
        <v>1</v>
      </c>
      <c r="S44">
        <v>1479</v>
      </c>
      <c r="T44" t="s">
        <v>231</v>
      </c>
      <c r="U44">
        <v>8</v>
      </c>
      <c r="V44" t="s">
        <v>149</v>
      </c>
      <c r="W44" t="s">
        <v>147</v>
      </c>
      <c r="X44" s="2">
        <v>46119.460115740738</v>
      </c>
    </row>
    <row r="45" spans="1:24">
      <c r="A45" s="1" t="s">
        <v>0</v>
      </c>
      <c r="B45" t="s">
        <v>222</v>
      </c>
      <c r="C45">
        <v>0</v>
      </c>
      <c r="D45">
        <v>0</v>
      </c>
      <c r="E45">
        <v>10</v>
      </c>
      <c r="F45">
        <v>25</v>
      </c>
      <c r="G45">
        <v>27</v>
      </c>
      <c r="H45">
        <v>3</v>
      </c>
      <c r="I45">
        <v>200</v>
      </c>
      <c r="J45">
        <v>0</v>
      </c>
      <c r="K45" t="s">
        <v>1</v>
      </c>
      <c r="L45">
        <v>187.34899999999999</v>
      </c>
      <c r="M45">
        <v>191.3</v>
      </c>
      <c r="N45">
        <v>191.3</v>
      </c>
      <c r="O45">
        <v>0</v>
      </c>
      <c r="P45">
        <v>1</v>
      </c>
      <c r="Q45">
        <v>1</v>
      </c>
      <c r="S45">
        <v>1644</v>
      </c>
      <c r="T45" t="s">
        <v>228</v>
      </c>
      <c r="U45">
        <v>2</v>
      </c>
      <c r="V45" t="s">
        <v>149</v>
      </c>
      <c r="W45" t="s">
        <v>136</v>
      </c>
      <c r="X45" s="2">
        <v>46119.462291666663</v>
      </c>
    </row>
  </sheetData>
  <autoFilter ref="B1:X45" xr:uid="{32B1E029-33AE-4694-9F05-9221CFB3B72E}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28D9-A7C2-4A5B-987F-7EA53771B129}">
  <sheetPr codeName="Planilha15"/>
  <dimension ref="A1:J24"/>
  <sheetViews>
    <sheetView zoomScale="85" zoomScaleNormal="85" workbookViewId="0">
      <selection activeCell="A24" sqref="A24:XFD24"/>
    </sheetView>
  </sheetViews>
  <sheetFormatPr defaultRowHeight="14.4"/>
  <cols>
    <col min="1" max="1" width="17.88671875" bestFit="1" customWidth="1"/>
    <col min="2" max="2" width="11.6640625" bestFit="1" customWidth="1"/>
    <col min="3" max="3" width="18.6640625" bestFit="1" customWidth="1"/>
    <col min="4" max="4" width="18.77734375" bestFit="1" customWidth="1"/>
    <col min="5" max="5" width="11.5546875" bestFit="1" customWidth="1"/>
    <col min="6" max="6" width="13.21875" bestFit="1" customWidth="1"/>
    <col min="7" max="7" width="19.6640625" bestFit="1" customWidth="1"/>
    <col min="8" max="8" width="19.88671875" bestFit="1" customWidth="1"/>
    <col min="9" max="9" width="12.6640625" bestFit="1" customWidth="1"/>
    <col min="10" max="10" width="14.33203125" bestFit="1" customWidth="1"/>
  </cols>
  <sheetData>
    <row r="1" spans="1:10" s="61" customFormat="1">
      <c r="A1" s="61" t="s">
        <v>33</v>
      </c>
      <c r="B1" s="61" t="s">
        <v>265</v>
      </c>
      <c r="C1" s="61" t="s">
        <v>485</v>
      </c>
      <c r="D1" s="61" t="s">
        <v>486</v>
      </c>
      <c r="E1" s="61" t="s">
        <v>487</v>
      </c>
      <c r="F1" s="61" t="s">
        <v>488</v>
      </c>
      <c r="G1" s="61" t="s">
        <v>489</v>
      </c>
      <c r="H1" s="61" t="s">
        <v>490</v>
      </c>
      <c r="I1" s="61" t="s">
        <v>491</v>
      </c>
      <c r="J1" s="61" t="s">
        <v>492</v>
      </c>
    </row>
    <row r="2" spans="1:10">
      <c r="A2" t="s">
        <v>215</v>
      </c>
      <c r="B2">
        <v>4</v>
      </c>
      <c r="C2">
        <v>1682456</v>
      </c>
      <c r="D2">
        <v>263952</v>
      </c>
      <c r="E2">
        <v>-1418504</v>
      </c>
      <c r="F2" t="s">
        <v>493</v>
      </c>
      <c r="G2">
        <v>996</v>
      </c>
      <c r="H2">
        <v>1446</v>
      </c>
      <c r="I2">
        <v>450</v>
      </c>
      <c r="J2" t="s">
        <v>494</v>
      </c>
    </row>
    <row r="3" spans="1:10">
      <c r="A3" t="s">
        <v>215</v>
      </c>
      <c r="B3">
        <v>6</v>
      </c>
      <c r="C3">
        <v>1635549</v>
      </c>
      <c r="D3">
        <v>2860176</v>
      </c>
      <c r="E3">
        <v>1224627</v>
      </c>
      <c r="F3" t="s">
        <v>494</v>
      </c>
      <c r="G3">
        <v>996</v>
      </c>
      <c r="H3">
        <v>1446</v>
      </c>
      <c r="I3">
        <v>450</v>
      </c>
      <c r="J3" t="s">
        <v>494</v>
      </c>
    </row>
    <row r="4" spans="1:10">
      <c r="A4" t="s">
        <v>216</v>
      </c>
      <c r="B4">
        <v>2</v>
      </c>
      <c r="C4">
        <v>4573505</v>
      </c>
      <c r="D4">
        <v>4351895</v>
      </c>
      <c r="E4">
        <v>-221610</v>
      </c>
      <c r="F4" t="s">
        <v>493</v>
      </c>
      <c r="G4">
        <v>2001</v>
      </c>
      <c r="H4">
        <v>2574</v>
      </c>
      <c r="I4">
        <v>573</v>
      </c>
      <c r="J4" t="s">
        <v>494</v>
      </c>
    </row>
    <row r="5" spans="1:10">
      <c r="A5" t="s">
        <v>216</v>
      </c>
      <c r="B5">
        <v>4</v>
      </c>
      <c r="C5">
        <v>408573</v>
      </c>
      <c r="D5">
        <v>4349023</v>
      </c>
      <c r="E5">
        <v>3940450</v>
      </c>
      <c r="F5" t="s">
        <v>494</v>
      </c>
      <c r="G5">
        <v>2001</v>
      </c>
      <c r="H5">
        <v>2574</v>
      </c>
      <c r="I5">
        <v>573</v>
      </c>
      <c r="J5" t="s">
        <v>494</v>
      </c>
    </row>
    <row r="6" spans="1:10">
      <c r="A6" t="s">
        <v>216</v>
      </c>
      <c r="B6">
        <v>6</v>
      </c>
      <c r="C6">
        <v>4077031</v>
      </c>
      <c r="D6">
        <v>4339203</v>
      </c>
      <c r="E6">
        <v>262172</v>
      </c>
      <c r="F6" t="s">
        <v>494</v>
      </c>
      <c r="G6">
        <v>2001</v>
      </c>
      <c r="H6">
        <v>2574</v>
      </c>
      <c r="I6">
        <v>573</v>
      </c>
      <c r="J6" t="s">
        <v>494</v>
      </c>
    </row>
    <row r="7" spans="1:10">
      <c r="A7" t="s">
        <v>216</v>
      </c>
      <c r="B7">
        <v>8</v>
      </c>
      <c r="C7">
        <v>4070304</v>
      </c>
      <c r="D7">
        <v>4341616</v>
      </c>
      <c r="E7">
        <v>271312</v>
      </c>
      <c r="F7" t="s">
        <v>494</v>
      </c>
      <c r="G7">
        <v>2001</v>
      </c>
      <c r="H7">
        <v>2574</v>
      </c>
      <c r="I7">
        <v>573</v>
      </c>
      <c r="J7" t="s">
        <v>494</v>
      </c>
    </row>
    <row r="8" spans="1:10">
      <c r="A8" t="s">
        <v>217</v>
      </c>
      <c r="B8">
        <v>2</v>
      </c>
      <c r="C8">
        <v>5438641</v>
      </c>
      <c r="D8">
        <v>4698999</v>
      </c>
      <c r="E8">
        <v>-739642</v>
      </c>
      <c r="F8" t="s">
        <v>493</v>
      </c>
      <c r="G8">
        <v>1653</v>
      </c>
      <c r="H8">
        <v>2034</v>
      </c>
      <c r="I8">
        <v>381</v>
      </c>
      <c r="J8" t="s">
        <v>494</v>
      </c>
    </row>
    <row r="9" spans="1:10">
      <c r="A9" t="s">
        <v>217</v>
      </c>
      <c r="B9">
        <v>4</v>
      </c>
      <c r="C9">
        <v>5435429</v>
      </c>
      <c r="D9">
        <v>4718062</v>
      </c>
      <c r="E9">
        <v>-717367</v>
      </c>
      <c r="F9" t="s">
        <v>493</v>
      </c>
      <c r="G9">
        <v>1653</v>
      </c>
      <c r="H9">
        <v>2034</v>
      </c>
      <c r="I9">
        <v>381</v>
      </c>
      <c r="J9" t="s">
        <v>494</v>
      </c>
    </row>
    <row r="10" spans="1:10">
      <c r="A10" t="s">
        <v>217</v>
      </c>
      <c r="B10">
        <v>6</v>
      </c>
      <c r="C10">
        <v>5441082</v>
      </c>
      <c r="D10">
        <v>4730568</v>
      </c>
      <c r="E10">
        <v>-710514</v>
      </c>
      <c r="F10" t="s">
        <v>493</v>
      </c>
      <c r="G10">
        <v>1653</v>
      </c>
      <c r="H10">
        <v>2034</v>
      </c>
      <c r="I10">
        <v>381</v>
      </c>
      <c r="J10" t="s">
        <v>494</v>
      </c>
    </row>
    <row r="11" spans="1:10">
      <c r="A11" t="s">
        <v>217</v>
      </c>
      <c r="B11">
        <v>8</v>
      </c>
      <c r="C11">
        <v>5451322</v>
      </c>
      <c r="D11">
        <v>470683</v>
      </c>
      <c r="E11">
        <v>-4980639</v>
      </c>
      <c r="F11" t="s">
        <v>493</v>
      </c>
      <c r="G11">
        <v>1653</v>
      </c>
      <c r="H11">
        <v>2034</v>
      </c>
      <c r="I11">
        <v>381</v>
      </c>
      <c r="J11" t="s">
        <v>494</v>
      </c>
    </row>
    <row r="12" spans="1:10">
      <c r="A12" t="s">
        <v>218</v>
      </c>
      <c r="B12">
        <v>2</v>
      </c>
      <c r="C12">
        <v>4521228</v>
      </c>
      <c r="D12">
        <v>17395288</v>
      </c>
      <c r="E12">
        <v>12874060</v>
      </c>
      <c r="F12" t="s">
        <v>494</v>
      </c>
      <c r="G12">
        <v>1755</v>
      </c>
      <c r="H12">
        <v>2928</v>
      </c>
      <c r="I12">
        <v>1173</v>
      </c>
      <c r="J12" t="s">
        <v>494</v>
      </c>
    </row>
    <row r="13" spans="1:10">
      <c r="A13" t="s">
        <v>218</v>
      </c>
      <c r="B13">
        <v>4</v>
      </c>
      <c r="C13">
        <v>4516329</v>
      </c>
      <c r="D13">
        <v>17552417</v>
      </c>
      <c r="E13">
        <v>13036088</v>
      </c>
      <c r="F13" t="s">
        <v>494</v>
      </c>
      <c r="G13">
        <v>1755</v>
      </c>
      <c r="H13">
        <v>2928</v>
      </c>
      <c r="I13">
        <v>1173</v>
      </c>
      <c r="J13" t="s">
        <v>494</v>
      </c>
    </row>
    <row r="14" spans="1:10">
      <c r="A14" t="s">
        <v>218</v>
      </c>
      <c r="B14">
        <v>6</v>
      </c>
      <c r="C14">
        <v>4523297</v>
      </c>
      <c r="D14">
        <v>1588244</v>
      </c>
      <c r="E14">
        <v>-2935053</v>
      </c>
      <c r="F14" t="s">
        <v>493</v>
      </c>
      <c r="G14">
        <v>1755</v>
      </c>
      <c r="H14">
        <v>2838</v>
      </c>
      <c r="I14">
        <v>1083</v>
      </c>
      <c r="J14" t="s">
        <v>494</v>
      </c>
    </row>
    <row r="15" spans="1:10">
      <c r="A15" t="s">
        <v>218</v>
      </c>
      <c r="B15">
        <v>8</v>
      </c>
      <c r="C15">
        <v>4525872</v>
      </c>
      <c r="E15">
        <v>-4525872</v>
      </c>
      <c r="F15" t="s">
        <v>493</v>
      </c>
      <c r="G15">
        <v>1755</v>
      </c>
      <c r="H15">
        <v>3000</v>
      </c>
      <c r="I15">
        <v>1245</v>
      </c>
      <c r="J15" t="s">
        <v>494</v>
      </c>
    </row>
    <row r="16" spans="1:10">
      <c r="A16" t="s">
        <v>220</v>
      </c>
      <c r="B16">
        <v>2</v>
      </c>
      <c r="C16">
        <v>2562144</v>
      </c>
      <c r="D16">
        <v>3029805</v>
      </c>
      <c r="E16">
        <v>467661</v>
      </c>
      <c r="F16" t="s">
        <v>494</v>
      </c>
      <c r="G16">
        <v>1539</v>
      </c>
      <c r="H16">
        <v>1734</v>
      </c>
      <c r="I16">
        <v>195</v>
      </c>
      <c r="J16" t="s">
        <v>494</v>
      </c>
    </row>
    <row r="17" spans="1:10">
      <c r="A17" t="s">
        <v>220</v>
      </c>
      <c r="B17">
        <v>4</v>
      </c>
      <c r="C17">
        <v>4014372</v>
      </c>
      <c r="D17">
        <v>1281723</v>
      </c>
      <c r="E17">
        <v>-2732649</v>
      </c>
      <c r="F17" t="s">
        <v>493</v>
      </c>
      <c r="G17">
        <v>1539</v>
      </c>
      <c r="H17">
        <v>1734</v>
      </c>
      <c r="I17">
        <v>195</v>
      </c>
      <c r="J17" t="s">
        <v>494</v>
      </c>
    </row>
    <row r="18" spans="1:10">
      <c r="A18" t="s">
        <v>220</v>
      </c>
      <c r="B18">
        <v>6</v>
      </c>
      <c r="C18">
        <v>2068982</v>
      </c>
      <c r="D18">
        <v>2301151</v>
      </c>
      <c r="E18">
        <v>232169</v>
      </c>
      <c r="F18" t="s">
        <v>494</v>
      </c>
      <c r="G18">
        <v>1539</v>
      </c>
      <c r="H18">
        <v>1734</v>
      </c>
      <c r="I18">
        <v>195</v>
      </c>
      <c r="J18" t="s">
        <v>494</v>
      </c>
    </row>
    <row r="19" spans="1:10">
      <c r="A19" t="s">
        <v>220</v>
      </c>
      <c r="B19">
        <v>8</v>
      </c>
      <c r="C19">
        <v>3797966</v>
      </c>
      <c r="D19">
        <v>1278826</v>
      </c>
      <c r="E19">
        <v>-2519140</v>
      </c>
      <c r="F19" t="s">
        <v>493</v>
      </c>
      <c r="G19">
        <v>1539</v>
      </c>
      <c r="H19">
        <v>1734</v>
      </c>
      <c r="I19">
        <v>195</v>
      </c>
      <c r="J19" t="s">
        <v>494</v>
      </c>
    </row>
    <row r="20" spans="1:10">
      <c r="A20" t="s">
        <v>221</v>
      </c>
      <c r="B20">
        <v>2</v>
      </c>
      <c r="C20">
        <v>892724</v>
      </c>
      <c r="D20">
        <v>2000011</v>
      </c>
      <c r="E20">
        <v>1107287</v>
      </c>
      <c r="F20" t="s">
        <v>494</v>
      </c>
      <c r="G20">
        <v>1050</v>
      </c>
      <c r="H20">
        <v>1425</v>
      </c>
      <c r="I20">
        <v>375</v>
      </c>
      <c r="J20" t="s">
        <v>494</v>
      </c>
    </row>
    <row r="21" spans="1:10">
      <c r="A21" t="s">
        <v>221</v>
      </c>
      <c r="B21">
        <v>4</v>
      </c>
      <c r="C21">
        <v>940466</v>
      </c>
      <c r="D21">
        <v>3128545</v>
      </c>
      <c r="E21">
        <v>2188079</v>
      </c>
      <c r="F21" t="s">
        <v>494</v>
      </c>
      <c r="G21">
        <v>1050</v>
      </c>
      <c r="H21">
        <v>1524</v>
      </c>
      <c r="I21">
        <v>474</v>
      </c>
      <c r="J21" t="s">
        <v>494</v>
      </c>
    </row>
    <row r="22" spans="1:10">
      <c r="A22" t="s">
        <v>221</v>
      </c>
      <c r="B22">
        <v>6</v>
      </c>
      <c r="C22">
        <v>1026532</v>
      </c>
      <c r="D22">
        <v>534669</v>
      </c>
      <c r="E22">
        <v>-491863</v>
      </c>
      <c r="F22" t="s">
        <v>493</v>
      </c>
      <c r="G22">
        <v>1050</v>
      </c>
      <c r="H22">
        <v>1785</v>
      </c>
      <c r="I22">
        <v>735</v>
      </c>
      <c r="J22" t="s">
        <v>494</v>
      </c>
    </row>
    <row r="23" spans="1:10">
      <c r="A23" t="s">
        <v>221</v>
      </c>
      <c r="B23">
        <v>8</v>
      </c>
      <c r="C23">
        <v>2224217</v>
      </c>
      <c r="D23">
        <v>3868347</v>
      </c>
      <c r="E23">
        <v>1644130</v>
      </c>
      <c r="F23" t="s">
        <v>494</v>
      </c>
      <c r="G23">
        <v>1050</v>
      </c>
      <c r="H23">
        <v>1479</v>
      </c>
      <c r="I23">
        <v>429</v>
      </c>
      <c r="J23" t="s">
        <v>494</v>
      </c>
    </row>
    <row r="24" spans="1:10">
      <c r="A24" t="s">
        <v>222</v>
      </c>
      <c r="B24">
        <v>2</v>
      </c>
      <c r="C24">
        <v>187349</v>
      </c>
      <c r="E24">
        <v>-187349</v>
      </c>
      <c r="F24" t="s">
        <v>493</v>
      </c>
      <c r="G24">
        <v>1644</v>
      </c>
      <c r="I24">
        <v>-1644</v>
      </c>
      <c r="J24" t="s">
        <v>493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900A-35DA-40BB-9336-B5891F8990F0}">
  <sheetPr codeName="Planilha14"/>
  <dimension ref="B1:N33"/>
  <sheetViews>
    <sheetView tabSelected="1" zoomScale="85" zoomScaleNormal="85" workbookViewId="0">
      <selection activeCell="C4" sqref="C4:C15"/>
    </sheetView>
  </sheetViews>
  <sheetFormatPr defaultRowHeight="14.4"/>
  <cols>
    <col min="2" max="2" width="19" customWidth="1"/>
    <col min="3" max="7" width="30.21875" bestFit="1" customWidth="1"/>
    <col min="8" max="14" width="8.5546875" bestFit="1" customWidth="1"/>
  </cols>
  <sheetData>
    <row r="1" spans="2:14" ht="15" thickBot="1"/>
    <row r="2" spans="2:14" ht="15" thickBot="1">
      <c r="C2" s="47" t="s">
        <v>156</v>
      </c>
      <c r="D2" s="48" t="s">
        <v>158</v>
      </c>
      <c r="E2" s="48" t="s">
        <v>161</v>
      </c>
      <c r="F2" s="48" t="s">
        <v>165</v>
      </c>
      <c r="G2" s="48" t="s">
        <v>168</v>
      </c>
      <c r="H2" s="48" t="s">
        <v>170</v>
      </c>
      <c r="I2" s="48" t="s">
        <v>173</v>
      </c>
      <c r="J2" s="48" t="s">
        <v>176</v>
      </c>
      <c r="K2" s="48" t="s">
        <v>179</v>
      </c>
      <c r="L2" s="48" t="s">
        <v>182</v>
      </c>
      <c r="M2" s="48" t="s">
        <v>185</v>
      </c>
      <c r="N2" s="49" t="s">
        <v>189</v>
      </c>
    </row>
    <row r="3" spans="2:14" ht="15" thickBot="1">
      <c r="C3" t="s">
        <v>103</v>
      </c>
      <c r="D3" t="s">
        <v>104</v>
      </c>
      <c r="E3" t="s">
        <v>105</v>
      </c>
      <c r="F3" t="s">
        <v>106</v>
      </c>
      <c r="G3" t="s">
        <v>107</v>
      </c>
      <c r="H3" t="s">
        <v>108</v>
      </c>
      <c r="I3" t="s">
        <v>109</v>
      </c>
      <c r="J3" t="s">
        <v>110</v>
      </c>
      <c r="K3" t="s">
        <v>111</v>
      </c>
      <c r="L3" t="s">
        <v>112</v>
      </c>
      <c r="M3" t="s">
        <v>113</v>
      </c>
      <c r="N3" t="s">
        <v>114</v>
      </c>
    </row>
    <row r="4" spans="2:14">
      <c r="C4" s="62" t="s">
        <v>447</v>
      </c>
      <c r="D4" s="54" t="s">
        <v>452</v>
      </c>
      <c r="E4" s="32" t="s">
        <v>457</v>
      </c>
      <c r="F4" s="32" t="s">
        <v>464</v>
      </c>
      <c r="G4" s="32" t="s">
        <v>470</v>
      </c>
      <c r="H4" s="32"/>
      <c r="I4" s="32"/>
      <c r="J4" s="32"/>
      <c r="K4" s="32"/>
      <c r="L4" s="32"/>
      <c r="M4" s="32"/>
      <c r="N4" s="63"/>
    </row>
    <row r="5" spans="2:14">
      <c r="C5" s="64" t="s">
        <v>448</v>
      </c>
      <c r="D5" s="54" t="s">
        <v>453</v>
      </c>
      <c r="E5" s="54" t="s">
        <v>458</v>
      </c>
      <c r="F5" s="54" t="s">
        <v>465</v>
      </c>
      <c r="G5" s="54" t="s">
        <v>471</v>
      </c>
      <c r="H5" s="54"/>
      <c r="I5" s="54"/>
      <c r="J5" s="54"/>
      <c r="K5" s="54"/>
      <c r="L5" s="54"/>
      <c r="M5" s="54"/>
      <c r="N5" s="65"/>
    </row>
    <row r="6" spans="2:14">
      <c r="C6" s="64" t="s">
        <v>449</v>
      </c>
      <c r="D6" s="54" t="s">
        <v>456</v>
      </c>
      <c r="E6" s="54" t="s">
        <v>459</v>
      </c>
      <c r="F6" s="54" t="s">
        <v>466</v>
      </c>
      <c r="G6" s="54" t="s">
        <v>472</v>
      </c>
      <c r="H6" s="54"/>
      <c r="I6" s="54"/>
      <c r="J6" s="54"/>
      <c r="K6" s="54"/>
      <c r="L6" s="54"/>
      <c r="M6" s="54"/>
      <c r="N6" s="65"/>
    </row>
    <row r="7" spans="2:14">
      <c r="C7" s="64" t="s">
        <v>447</v>
      </c>
      <c r="D7" s="54" t="s">
        <v>457</v>
      </c>
      <c r="E7" s="54" t="s">
        <v>461</v>
      </c>
      <c r="F7" s="54" t="s">
        <v>467</v>
      </c>
      <c r="G7" s="54" t="s">
        <v>473</v>
      </c>
      <c r="H7" s="54"/>
      <c r="I7" s="54"/>
      <c r="J7" s="54"/>
      <c r="K7" s="54"/>
      <c r="L7" s="54"/>
      <c r="M7" s="54"/>
      <c r="N7" s="65"/>
    </row>
    <row r="8" spans="2:14">
      <c r="B8" t="s">
        <v>454</v>
      </c>
      <c r="C8" s="64" t="s">
        <v>448</v>
      </c>
      <c r="D8" s="54" t="s">
        <v>458</v>
      </c>
      <c r="E8" s="54" t="s">
        <v>462</v>
      </c>
      <c r="F8" s="54" t="s">
        <v>468</v>
      </c>
      <c r="G8" s="54" t="s">
        <v>474</v>
      </c>
      <c r="H8" s="54"/>
      <c r="I8" s="54"/>
      <c r="J8" s="54"/>
      <c r="K8" s="54"/>
      <c r="L8" s="54"/>
      <c r="M8" s="54"/>
      <c r="N8" s="65"/>
    </row>
    <row r="9" spans="2:14" ht="15" thickBot="1">
      <c r="C9" s="64" t="s">
        <v>449</v>
      </c>
      <c r="D9" s="39" t="s">
        <v>459</v>
      </c>
      <c r="E9" s="54" t="s">
        <v>463</v>
      </c>
      <c r="F9" s="54" t="s">
        <v>469</v>
      </c>
      <c r="G9" s="54" t="s">
        <v>475</v>
      </c>
      <c r="H9" s="54"/>
      <c r="I9" s="54"/>
      <c r="J9" s="54"/>
      <c r="K9" s="54"/>
      <c r="L9" s="54"/>
      <c r="M9" s="54"/>
      <c r="N9" s="65"/>
    </row>
    <row r="10" spans="2:14">
      <c r="C10" s="64" t="s">
        <v>447</v>
      </c>
      <c r="D10" t="s">
        <v>460</v>
      </c>
      <c r="E10" s="54" t="s">
        <v>464</v>
      </c>
      <c r="F10" s="54" t="s">
        <v>470</v>
      </c>
      <c r="G10" s="54" t="s">
        <v>476</v>
      </c>
      <c r="H10" s="54"/>
      <c r="I10" s="54"/>
      <c r="J10" s="54"/>
      <c r="K10" s="54"/>
      <c r="L10" s="54"/>
      <c r="M10" s="54"/>
      <c r="N10" s="65"/>
    </row>
    <row r="11" spans="2:14">
      <c r="C11" s="64" t="s">
        <v>448</v>
      </c>
      <c r="D11" t="s">
        <v>456</v>
      </c>
      <c r="E11" s="54" t="s">
        <v>465</v>
      </c>
      <c r="F11" s="54" t="s">
        <v>471</v>
      </c>
      <c r="G11" s="54" t="s">
        <v>477</v>
      </c>
      <c r="H11" s="54"/>
      <c r="I11" s="54"/>
      <c r="J11" s="54"/>
      <c r="K11" s="54"/>
      <c r="L11" s="54"/>
      <c r="M11" s="54"/>
      <c r="N11" s="65"/>
    </row>
    <row r="12" spans="2:14">
      <c r="C12" s="64" t="s">
        <v>449</v>
      </c>
      <c r="D12" t="s">
        <v>457</v>
      </c>
      <c r="E12" s="54" t="s">
        <v>466</v>
      </c>
      <c r="F12" s="54" t="s">
        <v>472</v>
      </c>
      <c r="G12" s="54" t="s">
        <v>478</v>
      </c>
      <c r="H12" s="54"/>
      <c r="I12" s="54"/>
      <c r="J12" s="54"/>
      <c r="K12" s="54"/>
      <c r="L12" s="54"/>
      <c r="M12" s="54"/>
      <c r="N12" s="65"/>
    </row>
    <row r="13" spans="2:14">
      <c r="C13" s="64" t="s">
        <v>447</v>
      </c>
      <c r="D13" t="s">
        <v>458</v>
      </c>
      <c r="E13" s="54" t="s">
        <v>467</v>
      </c>
      <c r="F13" s="54" t="s">
        <v>473</v>
      </c>
      <c r="G13" s="54" t="s">
        <v>479</v>
      </c>
      <c r="H13" s="54"/>
      <c r="I13" s="54"/>
      <c r="J13" s="54"/>
      <c r="K13" s="54"/>
      <c r="L13" s="54"/>
      <c r="M13" s="54"/>
      <c r="N13" s="65"/>
    </row>
    <row r="14" spans="2:14">
      <c r="C14" s="64" t="s">
        <v>448</v>
      </c>
      <c r="D14" t="s">
        <v>459</v>
      </c>
      <c r="E14" s="54" t="s">
        <v>462</v>
      </c>
      <c r="F14" s="54" t="s">
        <v>468</v>
      </c>
      <c r="G14" s="54" t="s">
        <v>480</v>
      </c>
      <c r="H14" s="54"/>
      <c r="I14" s="54"/>
      <c r="J14" s="54"/>
      <c r="K14" s="54"/>
      <c r="L14" s="54"/>
      <c r="M14" s="54"/>
      <c r="N14" s="65"/>
    </row>
    <row r="15" spans="2:14" ht="15" thickBot="1">
      <c r="C15" s="66" t="s">
        <v>449</v>
      </c>
      <c r="D15" t="s">
        <v>460</v>
      </c>
      <c r="E15" s="39" t="s">
        <v>463</v>
      </c>
      <c r="F15" s="39" t="s">
        <v>469</v>
      </c>
      <c r="G15" s="39" t="s">
        <v>474</v>
      </c>
      <c r="H15" s="39"/>
      <c r="I15" s="39"/>
      <c r="J15" s="39"/>
      <c r="K15" s="39"/>
      <c r="L15" s="39"/>
      <c r="M15" s="39"/>
      <c r="N15" s="67"/>
    </row>
    <row r="16" spans="2:14">
      <c r="B16" t="s">
        <v>455</v>
      </c>
      <c r="C16" t="s">
        <v>447</v>
      </c>
      <c r="D16" t="s">
        <v>456</v>
      </c>
      <c r="E16" t="s">
        <v>464</v>
      </c>
      <c r="F16" t="s">
        <v>470</v>
      </c>
      <c r="G16" t="s">
        <v>475</v>
      </c>
    </row>
    <row r="17" spans="3:7">
      <c r="C17" t="s">
        <v>448</v>
      </c>
      <c r="D17" t="s">
        <v>457</v>
      </c>
      <c r="E17" t="s">
        <v>465</v>
      </c>
      <c r="F17" t="s">
        <v>471</v>
      </c>
      <c r="G17" t="s">
        <v>476</v>
      </c>
    </row>
    <row r="18" spans="3:7">
      <c r="C18" t="s">
        <v>449</v>
      </c>
      <c r="D18" t="s">
        <v>458</v>
      </c>
      <c r="E18" t="s">
        <v>466</v>
      </c>
      <c r="F18" t="s">
        <v>472</v>
      </c>
      <c r="G18" t="s">
        <v>477</v>
      </c>
    </row>
    <row r="19" spans="3:7">
      <c r="C19" t="s">
        <v>450</v>
      </c>
      <c r="D19" t="s">
        <v>459</v>
      </c>
      <c r="E19" t="s">
        <v>467</v>
      </c>
      <c r="F19" t="s">
        <v>473</v>
      </c>
      <c r="G19" t="s">
        <v>478</v>
      </c>
    </row>
    <row r="20" spans="3:7">
      <c r="C20" t="s">
        <v>451</v>
      </c>
      <c r="D20" t="s">
        <v>460</v>
      </c>
      <c r="E20" t="s">
        <v>462</v>
      </c>
      <c r="F20" t="s">
        <v>468</v>
      </c>
      <c r="G20" t="s">
        <v>479</v>
      </c>
    </row>
    <row r="21" spans="3:7">
      <c r="C21" t="s">
        <v>452</v>
      </c>
      <c r="D21" t="s">
        <v>456</v>
      </c>
      <c r="E21" t="s">
        <v>463</v>
      </c>
      <c r="F21" t="s">
        <v>469</v>
      </c>
      <c r="G21" t="s">
        <v>480</v>
      </c>
    </row>
    <row r="22" spans="3:7">
      <c r="C22" t="s">
        <v>453</v>
      </c>
      <c r="E22" t="s">
        <v>464</v>
      </c>
      <c r="F22" t="s">
        <v>470</v>
      </c>
    </row>
    <row r="23" spans="3:7">
      <c r="C23" t="s">
        <v>450</v>
      </c>
      <c r="E23" t="s">
        <v>465</v>
      </c>
      <c r="F23" t="s">
        <v>471</v>
      </c>
    </row>
    <row r="24" spans="3:7">
      <c r="C24" t="s">
        <v>451</v>
      </c>
      <c r="E24" t="s">
        <v>466</v>
      </c>
      <c r="F24" t="s">
        <v>472</v>
      </c>
    </row>
    <row r="25" spans="3:7">
      <c r="C25" t="s">
        <v>452</v>
      </c>
      <c r="E25" t="s">
        <v>467</v>
      </c>
      <c r="F25" t="s">
        <v>473</v>
      </c>
    </row>
    <row r="26" spans="3:7">
      <c r="C26" t="s">
        <v>453</v>
      </c>
      <c r="E26" t="s">
        <v>462</v>
      </c>
      <c r="F26" t="s">
        <v>468</v>
      </c>
    </row>
    <row r="27" spans="3:7" ht="15" thickBot="1">
      <c r="E27" t="s">
        <v>463</v>
      </c>
      <c r="F27" t="s">
        <v>469</v>
      </c>
    </row>
    <row r="28" spans="3:7">
      <c r="C28" s="32" t="s">
        <v>450</v>
      </c>
    </row>
    <row r="29" spans="3:7">
      <c r="C29" s="54" t="s">
        <v>451</v>
      </c>
    </row>
    <row r="30" spans="3:7">
      <c r="C30" s="54" t="s">
        <v>452</v>
      </c>
    </row>
    <row r="31" spans="3:7">
      <c r="C31" s="54" t="s">
        <v>453</v>
      </c>
    </row>
    <row r="32" spans="3:7">
      <c r="C32" s="54" t="s">
        <v>450</v>
      </c>
    </row>
    <row r="33" spans="3:3">
      <c r="C33" s="54" t="s">
        <v>451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GERAL</vt:lpstr>
      <vt:lpstr>Planilha14</vt:lpstr>
      <vt:lpstr>artigo</vt:lpstr>
      <vt:lpstr>ComparacaoComEsemMipNoFinal</vt:lpstr>
      <vt:lpstr>DADOS</vt:lpstr>
      <vt:lpstr>tabela_dados</vt:lpstr>
      <vt:lpstr>variacao_NOIMPROVE</vt:lpstr>
      <vt:lpstr>Resumo_Improve</vt:lpstr>
      <vt:lpstr>MipPeriodico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Dieferson gg</dc:creator>
  <cp:lastModifiedBy>Dieferson gg</cp:lastModifiedBy>
  <dcterms:created xsi:type="dcterms:W3CDTF">2026-04-03T13:43:48Z</dcterms:created>
  <dcterms:modified xsi:type="dcterms:W3CDTF">2026-06-05T20:50:51Z</dcterms:modified>
</cp:coreProperties>
</file>