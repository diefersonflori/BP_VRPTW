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yanaSilva\Documents\BP_VRPTW\"/>
    </mc:Choice>
  </mc:AlternateContent>
  <xr:revisionPtr revIDLastSave="0" documentId="13_ncr:1_{29AB0AF9-D4D5-43B1-9579-449BA6925315}" xr6:coauthVersionLast="47" xr6:coauthVersionMax="47" xr10:uidLastSave="{00000000-0000-0000-0000-000000000000}"/>
  <bookViews>
    <workbookView xWindow="9510" yWindow="-90" windowWidth="19380" windowHeight="10260" xr2:uid="{4E09473B-822A-43E9-9331-F4065B01EEC2}"/>
  </bookViews>
  <sheets>
    <sheet name="resultados_finais ANALISE COMPL" sheetId="1" r:id="rId1"/>
    <sheet name="artigo" sheetId="2" r:id="rId2"/>
    <sheet name="resultados_finais" sheetId="4" r:id="rId3"/>
    <sheet name="Planilha2" sheetId="3" r:id="rId4"/>
  </sheets>
  <definedNames>
    <definedName name="DadosExternos_1" localSheetId="2" hidden="1">'resultados_finais'!$A$1:$V$68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K45" i="1" l="1"/>
  <c r="AI57" i="1"/>
  <c r="AJ57" i="1"/>
  <c r="AK57" i="1"/>
  <c r="AL57" i="1"/>
  <c r="AM57" i="1"/>
  <c r="AI58" i="1"/>
  <c r="AJ58" i="1"/>
  <c r="AK58" i="1"/>
  <c r="AL58" i="1"/>
  <c r="AM58" i="1"/>
  <c r="AI59" i="1"/>
  <c r="AJ59" i="1"/>
  <c r="AK59" i="1"/>
  <c r="AL59" i="1"/>
  <c r="AM59" i="1"/>
  <c r="AI60" i="1"/>
  <c r="AJ60" i="1"/>
  <c r="AK60" i="1"/>
  <c r="AL60" i="1"/>
  <c r="AM60" i="1"/>
  <c r="AI61" i="1"/>
  <c r="AJ61" i="1"/>
  <c r="AK61" i="1"/>
  <c r="AL61" i="1"/>
  <c r="AM61" i="1"/>
  <c r="AI62" i="1"/>
  <c r="AJ62" i="1"/>
  <c r="AK62" i="1"/>
  <c r="AL62" i="1"/>
  <c r="AM62" i="1"/>
  <c r="AI63" i="1"/>
  <c r="AJ63" i="1"/>
  <c r="AK63" i="1"/>
  <c r="AL63" i="1"/>
  <c r="AM63" i="1"/>
  <c r="AI64" i="1"/>
  <c r="AJ64" i="1"/>
  <c r="AK64" i="1"/>
  <c r="AL64" i="1"/>
  <c r="AM64" i="1"/>
  <c r="AI65" i="1"/>
  <c r="AJ65" i="1"/>
  <c r="AK65" i="1"/>
  <c r="AL65" i="1"/>
  <c r="AM65" i="1"/>
  <c r="AM46" i="1"/>
  <c r="AM47" i="1"/>
  <c r="AM48" i="1"/>
  <c r="AM49" i="1"/>
  <c r="AM50" i="1"/>
  <c r="AM51" i="1"/>
  <c r="AM52" i="1"/>
  <c r="AM53" i="1"/>
  <c r="AM54" i="1"/>
  <c r="AM55" i="1"/>
  <c r="AM56" i="1"/>
  <c r="AM45" i="1"/>
  <c r="AK46" i="1"/>
  <c r="AK47" i="1"/>
  <c r="AK48" i="1"/>
  <c r="AK49" i="1"/>
  <c r="AK50" i="1"/>
  <c r="AK51" i="1"/>
  <c r="AK52" i="1"/>
  <c r="AK53" i="1"/>
  <c r="AK54" i="1"/>
  <c r="AK55" i="1"/>
  <c r="AK56" i="1"/>
  <c r="AL46" i="1"/>
  <c r="AL47" i="1"/>
  <c r="AL48" i="1"/>
  <c r="AL49" i="1"/>
  <c r="AL50" i="1"/>
  <c r="AL51" i="1"/>
  <c r="AL52" i="1"/>
  <c r="AL53" i="1"/>
  <c r="AL54" i="1"/>
  <c r="AL55" i="1"/>
  <c r="AL56" i="1"/>
  <c r="AL45" i="1"/>
  <c r="AJ46" i="1"/>
  <c r="AJ47" i="1"/>
  <c r="AJ48" i="1"/>
  <c r="AJ49" i="1"/>
  <c r="AJ50" i="1"/>
  <c r="AJ51" i="1"/>
  <c r="AJ52" i="1"/>
  <c r="AJ53" i="1"/>
  <c r="AJ54" i="1"/>
  <c r="AJ55" i="1"/>
  <c r="AJ56" i="1"/>
  <c r="AJ45" i="1"/>
  <c r="AI46" i="1"/>
  <c r="AI47" i="1"/>
  <c r="AI48" i="1"/>
  <c r="AI49" i="1"/>
  <c r="AI50" i="1"/>
  <c r="AI51" i="1"/>
  <c r="AI52" i="1"/>
  <c r="AI53" i="1"/>
  <c r="AI54" i="1"/>
  <c r="AI55" i="1"/>
  <c r="AI56" i="1"/>
  <c r="AI45" i="1"/>
  <c r="O28" i="1"/>
  <c r="O16" i="1"/>
  <c r="O1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47B9AC-5338-4483-B452-665E42C2F42D}" keepAlive="1" name="Consulta - resultados_finais" description="Conexão com a consulta 'resultados_finais' na pasta de trabalho." type="5" refreshedVersion="8" background="1" saveData="1">
    <dbPr connection="Provider=Microsoft.Mashup.OleDb.1;Data Source=$Workbook$;Location=resultados_finais;Extended Properties=&quot;&quot;" command="SELECT * FROM [resultados_finais]"/>
  </connection>
</connections>
</file>

<file path=xl/sharedStrings.xml><?xml version="1.0" encoding="utf-8"?>
<sst xmlns="http://schemas.openxmlformats.org/spreadsheetml/2006/main" count="1077" uniqueCount="236">
  <si>
    <t>run_id</t>
  </si>
  <si>
    <t>arquivo_instancia</t>
  </si>
  <si>
    <t>ninst</t>
  </si>
  <si>
    <t>tem_janelas</t>
  </si>
  <si>
    <t>heuristica_retirada</t>
  </si>
  <si>
    <t>tamanho_clientes</t>
  </si>
  <si>
    <t>nos_rede</t>
  </si>
  <si>
    <t>veiculos</t>
  </si>
  <si>
    <t>capacidade</t>
  </si>
  <si>
    <t>tabu</t>
  </si>
  <si>
    <t>tipo_geracao</t>
  </si>
  <si>
    <t>tempo_exato</t>
  </si>
  <si>
    <t>tempo_bp</t>
  </si>
  <si>
    <t>fo_exato</t>
  </si>
  <si>
    <t>fo_bp</t>
  </si>
  <si>
    <t>gap_pct</t>
  </si>
  <si>
    <t>igual_exato</t>
  </si>
  <si>
    <t>nos_bp</t>
  </si>
  <si>
    <t>colunas_bp</t>
  </si>
  <si>
    <t>seq_exato</t>
  </si>
  <si>
    <t>seq_bp</t>
  </si>
  <si>
    <t>timestamp</t>
  </si>
  <si>
    <t>tam25_cap200_tabu0_inst0_cons10</t>
  </si>
  <si>
    <t>instancias/c101N,txt</t>
  </si>
  <si>
    <t>PD</t>
  </si>
  <si>
    <t>V0: [0,13,17,18,19,15,16,14,12,26] ; V1: [0,20,24,25,23,22,21,26] ; V2: [0,5,3,7,8,10,11,9,6,4,2,1,26]</t>
  </si>
  <si>
    <t>V0: [0,13,17,18,19,15,16,14,12,26] ; V1: [0,5,3,7,8,10,11,9,6,4,2,1,26] ; V2: [0,20,24,25,23,22,21,26]</t>
  </si>
  <si>
    <t>tam25_cap200_tabu0_inst0_cons0</t>
  </si>
  <si>
    <t>tam25_cap200_tabu0_inst0_cons1</t>
  </si>
  <si>
    <t>tam25_cap200_tabu0_inst0_cons2</t>
  </si>
  <si>
    <t>V0: [0,5,3,7,8,10,11,9,6,4,2,1,26] ; V1: [0,13,17,18,19,15,16,14,12,26] ; V2: [0,20,24,25,23,22,21,26]</t>
  </si>
  <si>
    <t>tam25_cap200_tabu0_inst0_cons3</t>
  </si>
  <si>
    <t>V0: [0,20,24,25,23,22,26] ; V1: [0,13,17,18,19,15,16,14,12,1,26] ; V2: [0,5,3,7,8,10,11,9,6,4,2,21,26]</t>
  </si>
  <si>
    <t>tam25_cap200_tabu0_inst1_cons10</t>
  </si>
  <si>
    <t>instancias/c101_multpJan_open,txt</t>
  </si>
  <si>
    <t>V0: [0,11,12,14,16,15,19,18,17,13,26] ; V1: [0,10,8,9,6,4,2,1,3,5,7,26] ; V2: [0,21,22,23,25,24,20,26]</t>
  </si>
  <si>
    <t>V0: [0,7,8,10,11,9,6,4,2,1,3,5,26] ; V1: [0,21,22,25,24,20,26] ; V2: [0,13,15,12,14,16,19,18,17,23,26]</t>
  </si>
  <si>
    <t>tam25_cap200_tabu0_inst1_cons0</t>
  </si>
  <si>
    <t>V0: [0,25,23,10,26] ; V1: [0,13,17,18,19,15,16,14,12,11,26] ; V2: [0,20,24,22,21,8,9,6,7,4,2,1,3,5,26]</t>
  </si>
  <si>
    <t>tam25_cap200_tabu0_inst1_cons1</t>
  </si>
  <si>
    <t>V0: [0,13,15,12,14,16,19,18,17,24,26] ; V1: [0,22,25,26] ; V2: [0,20,21,23,10,11,9,8,6,4,2,1,3,5,7,26]</t>
  </si>
  <si>
    <t>tam25_cap200_tabu0_inst1_cons2</t>
  </si>
  <si>
    <t>V0: [0,11,12,14,16,15,19,18,17,13,26] ; V1: [0,9,6,8,23,26] ; V2: [0,20,21,22,24,25,10,7,4,2,1,3,5,26]</t>
  </si>
  <si>
    <t>tam25_cap200_tabu0_inst1_cons3</t>
  </si>
  <si>
    <t>V0: [0,20,24,25,22,21,26] ; V1: [0,23,13,17,18,19,15,16,14,12,26] ; V2: [0,7,5,3,1,2,4,6,8,9,11,10,26]</t>
  </si>
  <si>
    <t>instancias/c102,txt</t>
  </si>
  <si>
    <t>1,907,376</t>
  </si>
  <si>
    <t>V0: [0,7,8,10,11,9,6,4,2,1,3,5,26] ; V1: [0,20,24,25,23,22,21,26] ; V2: [0,13,17,18,19,15,16,14,12,26]</t>
  </si>
  <si>
    <t>V0: [0,20,24,25,23,22,21,26] ; V1: [0,7,8,10,11,9,6,4,2,1,3,5,26] ; V2: [0,13,17,18,19,15,16,14,12,26]</t>
  </si>
  <si>
    <t>V0: [0,13,17,18,19,15,16,14,12,26] ; V1: [0,7,8,10,11,9,6,4,2,1,3,5,26] ; V2: [0,20,24,25,23,22,21,26]</t>
  </si>
  <si>
    <t>V0: [0,5,3,7,8,10,11,9,6,4,2,1,26] ; V1: [0,20,24,25,23,22,21,26] ; V2: [0,13,17,18,19,15,16,14,12,26]</t>
  </si>
  <si>
    <t>V0: [0,13,17,18,15,16,14,12,21,26] ; V1: [0,20,24,25,8,10,11,9,6,4,2,1,26] ; V2: [0,5,3,7,19,23,22,26]</t>
  </si>
  <si>
    <t>tam25_cap200_tabu0_inst0_cons22</t>
  </si>
  <si>
    <t>V0: [0,20,24,25,23,22,21,26] ; V1: [0,13,17,18,19,15,16,14,12,26] ; V2: [0,5,3,7,8,10,11,9,6,4,2,1,26]</t>
  </si>
  <si>
    <t>V0: [0,21,7,8,10,11,9,6,4,2,1,3,5,26] ; V1: [0,20,24,25,23,22,26] ; V2: [0,13,17,18,19,15,16,14,12,26]</t>
  </si>
  <si>
    <t>V0: [0,13,17,18,19,15,16,14,12,26] ; V1: [0,20,24,25,23,22,21,26] ; V2: [0,7,8,10,11,9,6,4,2,1,3,5,26]</t>
  </si>
  <si>
    <t>V0: [0,7,12,8,10,11,9,6,4,2,1,3,5,26] ; V1: [0,20,24,25,21,26] ; V2: [0,13,17,18,19,15,16,14,23,22,26]</t>
  </si>
  <si>
    <t>V0: [0,20,24,25,23,22,21,26] ; V1: [0,13,17,18,19,15,16,14,12,26] ; V2: [0,7,8,10,11,9,6,4,2,1,3,5,26]</t>
  </si>
  <si>
    <t>instancias/c103,txt</t>
  </si>
  <si>
    <t>493.51</t>
  </si>
  <si>
    <t>V0: [0,7,8,10,11,9,6,4,2,1,3,5,26] ; V1: [0,13,17,15,12,14,16,19,18,24,26] ; V2: [0,20,25,23,22,21,26]</t>
  </si>
  <si>
    <t>SEM_SEQUENCIA_BP</t>
  </si>
  <si>
    <t>tabixado</t>
  </si>
  <si>
    <t>191,8136</t>
  </si>
  <si>
    <t>211,5798</t>
  </si>
  <si>
    <t>188,0493</t>
  </si>
  <si>
    <t>189,3041</t>
  </si>
  <si>
    <t>219,4</t>
  </si>
  <si>
    <t>204,3185</t>
  </si>
  <si>
    <t>220,2763</t>
  </si>
  <si>
    <t>189,0022</t>
  </si>
  <si>
    <t>264,7235</t>
  </si>
  <si>
    <t>190,7376</t>
  </si>
  <si>
    <t>202,1078</t>
  </si>
  <si>
    <t>233,9557</t>
  </si>
  <si>
    <t>199,4971</t>
  </si>
  <si>
    <t>-1</t>
  </si>
  <si>
    <t>212,788</t>
  </si>
  <si>
    <t>V0: [0,13,17,19,18,15,16,14,12,5,26] ; V1: [0,21,23,22,20,26] ; V2: [0,24,25,8,10,11,9,6,4,2,1,3,7,26]</t>
  </si>
  <si>
    <t>instancias/r101,txt</t>
  </si>
  <si>
    <t>618,3299</t>
  </si>
  <si>
    <t>V0: [0,12,9,20,1,26] ; V1: [0,11,19,10,26] ; V2: [0,18,26] ; V3: [0,23,22,4,26] ; V4: [0,7,8,17,26] ; V5: [0,5,16,6,26] ; V6: [0,2,21,3,24,25,26] ; V7: [0,14,15,13,26]</t>
  </si>
  <si>
    <t>V0: [0,12,9,20,1,26] ; V1: [0,7,8,17,26] ; V2: [0,23,22,4,26] ; V3: [0,2,21,3,24,25,26] ; V4: [0,14,15,13,26] ; V5: [0,18,26] ; V6: [0,11,19,10,26] ; V7: [0,5,16,6,26]</t>
  </si>
  <si>
    <t>V0: [0,14,15,13,26] ; V1: [0,18,26] ; V2: [0,23,22,4,25,26] ; V3: [0,2,21,3,24,26] ; V4: [0,12,9,20,1,26] ; V5: [0,5,16,6,26] ; V6: [0,11,19,10,26] ; V7: [0,7,8,17,26]</t>
  </si>
  <si>
    <t>V0: [0,2,21,3,24,25,26] ; V1: [0,12,9,20,1,26] ; V2: [0,11,19,10,26] ; V3: [0,18,26] ; V4: [0,23,22,4,26] ; V5: [0,14,15,13,26] ; V6: [0,5,16,6,26] ; V7: [0,7,8,17,26]</t>
  </si>
  <si>
    <t>V0: [0,2,21,3,24,25,26] ; V1: [0,12,9,20,1,26] ; V2: [0,11,19,10,26] ; V3: [0,23,22,4,26] ; V4: [0,7,8,17,26] ; V5: [0,18,26] ; V6: [0,5,16,6,26] ; V7: [0,14,15,13,26]</t>
  </si>
  <si>
    <t>646,8649</t>
  </si>
  <si>
    <t>V0: [0,14,15,22,4,25,26] ; V1: [0,18,6,13,26] ; V2: [0,7,8,26] ; V3: [0,5,16,17,26] ; V4: [0,2,21,3,1,26] ; V5: [0,11,19,10,26] ; V6: [0,12,9,20,26] ; V7: [0,23,24,26]</t>
  </si>
  <si>
    <t>V0: [0,5,16,6,26] ; V1: [0,14,15,13,26] ; V2: [0,12,9,20,1,26] ; V3: [0,7,8,17,26] ; V4: [0,18,26] ; V5: [0,11,19,10,26] ; V6: [0,2,21,3,24,26] ; V7: [0,23,22,4,25,26]</t>
  </si>
  <si>
    <t>instancias/r102,txt</t>
  </si>
  <si>
    <t>548,1078</t>
  </si>
  <si>
    <t>V0: [0,14,16,6,13,26] ; V1: [0,3,9,20,1,26] ; V2: [0,7,11,19,10,26] ; V3: [0,2,15,22,4,25,26] ; V4: [0,18,26] ; V5: [0,8,17,5,26] ; V6: [0,21,23,24,12,26]</t>
  </si>
  <si>
    <t>V0: [0,3,9,20,1,26] ; V1: [0,8,17,5,26] ; V2: [0,21,23,24,12,26] ; V3: [0,7,11,19,10,26] ; V4: [0,18,26] ; V5: [0,14,16,6,13,26] ; V6: [0,2,15,22,4,25,26]</t>
  </si>
  <si>
    <t>instancias/r103,txt</t>
  </si>
  <si>
    <t>468,2479</t>
  </si>
  <si>
    <t>455,6982</t>
  </si>
  <si>
    <t>V0: [0,7,19,11,10,26] ; V1: [0,2,21,23,22,4,25,26] ; V2: [0,14,15,6,13,26] ; V3: [0,1,20,9,3,24,12,26] ; V4: [0,18,8,17,16,5,26]</t>
  </si>
  <si>
    <t>V0: [0,12,24,3,9,10,20,1,26] ; V1: [0,21,23,22,4,25,26] ; V2: [0,7,19,11,8,18,26] ; V3: [0,2,15,14,16,17,5,26] ; V4: [0,6,13,26]</t>
  </si>
  <si>
    <t>instancias/r104,txt</t>
  </si>
  <si>
    <t>453,6869</t>
  </si>
  <si>
    <t>417,9612</t>
  </si>
  <si>
    <t>V0: [0,15,16,14,13,26] ; V1: [0,21,22,23,4,2,6,26] ; V2: [0,7,19,11,8,17,5,18,26] ; V3: [0,1,10,20,9,3,24,25,12,26]</t>
  </si>
  <si>
    <t>V0: [0,12,24,3,9,20,10,1,26] ; V1: [0,2,15,14,16,17,5,26] ; V2: [0,7,19,11,8,18,6,13,26] ; V3: [0,21,22,23,4,25,26]</t>
  </si>
  <si>
    <t>instancias/r105,txt</t>
  </si>
  <si>
    <t>531,5386</t>
  </si>
  <si>
    <t>V0: [0,5,14,16,6,26] ; V1: [0,12,9,3,24,25,26] ; V2: [0,2,15,13,26] ; V3: [0,21,23,22,4,26] ; V4: [0,7,18,8,17,26] ; V5: [0,19,11,10,20,1,26]</t>
  </si>
  <si>
    <t>V0: [0,19,11,10,20,1,26] ; V1: [0,21,23,22,4,26] ; V2: [0,7,18,8,17,26] ; V3: [0,2,15,13,26] ; V4: [0,12,9,3,24,25,26] ; V5: [0,5,14,16,6,26]</t>
  </si>
  <si>
    <t>instancias/r106,txt</t>
  </si>
  <si>
    <t>466,4802</t>
  </si>
  <si>
    <t>V0: [0,2,15,23,22,4,25,21,26] ; V1: [0,14,16,6,13,26] ; V2: [0,7,19,11,10,26] ; V3: [0,18,8,17,5,26] ; V4: [0,1,9,20,3,24,12,26]</t>
  </si>
  <si>
    <t>V0: [0,2,15,23,22,4,25,21,26] ; V1: [0,7,19,11,10,26] ; V2: [0,1,9,20,3,24,12,26] ; V3: [0,14,16,6,13,26] ; V4: [0,18,8,17,5,26]</t>
  </si>
  <si>
    <t>instancias/r107,txt</t>
  </si>
  <si>
    <t>429,2004</t>
  </si>
  <si>
    <t>425,2685</t>
  </si>
  <si>
    <t>V0: [0,6,16,14,13,26] ; V1: [0,18,7,11,19,8,17,5,26] ; V2: [0,2,15,23,22,4,25,21,26] ; V3: [0,12,24,3,9,20,10,1,26]</t>
  </si>
  <si>
    <t>V0: [0,2,15,14,6,13,26] ; V1: [0,21,23,22,4,25,24,26] ; V2: [0,18,7,11,19,8,17,16,5,26] ; V3: [0,12,3,9,20,10,1,26]</t>
  </si>
  <si>
    <t>instancias/r108,txt</t>
  </si>
  <si>
    <t>398,2947</t>
  </si>
  <si>
    <t>V0: [0,21,22,23,4,25,24,26] ; V1: [0,7,10,11,19,8,18,26] ; V2: [0,12,3,9,20,1,26] ; V3: [0,2,15,14,16,17,5,6,13,26]</t>
  </si>
  <si>
    <t>V0: [0,7,10,11,19,8,18,26] ; V1: [0,2,15,14,16,17,5,6,13,26] ; V2: [0,12,3,9,20,1,26] ; V3: [0,21,22,23,4,25,24,26]</t>
  </si>
  <si>
    <t>instancias/r109,txt</t>
  </si>
  <si>
    <t>442,6252</t>
  </si>
  <si>
    <t>V0: [0,2,15,14,16,17,13,26] ; V1: [0,5,8,18,6,26] ; V2: [0,21,22,23,4,25,24,26] ; V3: [0,12,3,9,20,1,26] ; V4: [0,7,19,11,10,26]</t>
  </si>
  <si>
    <t>V0: [0,21,22,23,4,25,24,26] ; V1: [0,12,3,9,20,1,26] ; V2: [0,2,15,14,16,17,13,26] ; V3: [0,5,8,18,6,26] ; V4: [0,7,19,11,10,26]</t>
  </si>
  <si>
    <t>instancias/r110,txt</t>
  </si>
  <si>
    <t>445,8722</t>
  </si>
  <si>
    <t>SEM_SEQUENCIA_EXATO</t>
  </si>
  <si>
    <t>V0: [0,11,19,7,10,20,9,1,26] ; V1: [0,18,8,17,6,26] ; V2: [0,2,21,12,3,24,25,4,26] ; V3: [0,5,16,14,15,22,23,13,26]</t>
  </si>
  <si>
    <t>instancias/r111,txt</t>
  </si>
  <si>
    <t>440,9024</t>
  </si>
  <si>
    <t>429,6968</t>
  </si>
  <si>
    <t>V0: [0,6,14,16,17,5,26] ; V1: [0,2,15,23,22,21,4,25,24,26] ; V2: [0,3,9,20,10,1,12,26] ; V3: [0,7,11,19,8,18,13,26]</t>
  </si>
  <si>
    <t>V0: [0,7,11,19,8,18,17,5,26] ; V1: [0,12,3,9,20,10,1,26] ; V2: [0,2,15,14,16,6,13,26] ; V3: [0,21,23,22,4,25,24,26]</t>
  </si>
  <si>
    <t>instancias/r112,txt</t>
  </si>
  <si>
    <t>394,1013</t>
  </si>
  <si>
    <t>396,9838</t>
  </si>
  <si>
    <t>V0: [0,18,8,7,19,11,10,26] ; V1: [0,21,22,23,4,25,24,26] ; V2: [0,2,15,14,16,17,5,6,13,26] ; V3: [0,12,3,9,20,1,26]</t>
  </si>
  <si>
    <t>V0: [0,18,8,7,19,11,10,26] ; V1: [0,2,15,14,16,17,5,6,26] ; V2: [0,12,24,3,9,20,1,26] ; V3: [0,13,21,22,23,25,4,26]</t>
  </si>
  <si>
    <t>instancias/c201,txt</t>
  </si>
  <si>
    <t>268,5325</t>
  </si>
  <si>
    <t>278,6961</t>
  </si>
  <si>
    <t>V0: [0,20,22,24,6,25,9,11,10,8,21,26] ; V1: [0,23,18,19,16,14,12,15,17,13,26] ; V2: [0,5,2,1,7,3,4,26]</t>
  </si>
  <si>
    <t>V0: [0,22,18,19,16,14,12,9,11,10,8,26] ; V1: [0,20,24,6,23,15,17,13,25,21,26] ; V2: [0,5,2,1,7,3,4,26]</t>
  </si>
  <si>
    <t>instancias/c202,txt</t>
  </si>
  <si>
    <t>268,8531</t>
  </si>
  <si>
    <t>303,7789</t>
  </si>
  <si>
    <t>V0: [0,19,16,14,12,15,13,9,11,10,8,26] ; V1: [0,4,3,7,1,2,5,26] ; V2: [0,20,22,24,6,23,18,17,25,21,26]</t>
  </si>
  <si>
    <t>V0: [0,7,3,4,11,10,26] ; V1: [0,20,22,24,6,23,18,19,17,25,21,8,26] ; V2: [0,5,1,2,12,16,14,15,13,9,26]</t>
  </si>
  <si>
    <t>instancias/c203,txt</t>
  </si>
  <si>
    <t>277,1327</t>
  </si>
  <si>
    <t>V0: [0,5,2,1,7,3,4,26] ; V1: [0,23,18,19,16,14,12,15,17,13,26] ; V2: [0,20,22,24,6,25,9,11,10,8,21,26]</t>
  </si>
  <si>
    <t>V0: [0,20,22,24,6,23,19,18,17,25,21,26] ; V1: [0,4,3,7,1,12,14,16,15,13,9,26] ; V2: [0,5,2,11,10,8,26]</t>
  </si>
  <si>
    <t>instancias/c204,txt</t>
  </si>
  <si>
    <t>268,5947</t>
  </si>
  <si>
    <t>291,5318</t>
  </si>
  <si>
    <t>V0: [0,17,18,19,16,14,12,15,13,26] ; V1: [0,20,22,24,6,23,25,9,11,10,8,21,26] ; V2: [0,5,2,1,7,3,4,26]</t>
  </si>
  <si>
    <t>V0: [0,12,14,16,9,26] ; V1: [0,4,3,7,1,2,5,11,10,8,21,22,20,26] ; V2: [0,24,6,23,17,18,19,15,13,25,26]</t>
  </si>
  <si>
    <t>instancias/c205,txt</t>
  </si>
  <si>
    <t>281,4628</t>
  </si>
  <si>
    <t>V0: [0,23,18,19,16,14,12,15,17,13,26] ; V1: [0,20,22,24,6,25,9,11,10,8,21,26] ; V2: [0,5,2,1,7,3,4,26]</t>
  </si>
  <si>
    <t>V0: [0,23,18,19,16,14,12,15,10,11,26] ; V1: [0,20,22,24,6,25,17,13,9,8,21,26] ; V2: [0,5,2,1,7,3,4,26]</t>
  </si>
  <si>
    <t>instancias/c206,txt</t>
  </si>
  <si>
    <t>266,5696</t>
  </si>
  <si>
    <t>278,4903</t>
  </si>
  <si>
    <t>V0: [0,5,2,1,7,3,4,26] ; V1: [0,20,22,24,6,23,18,19,17,25,21,26] ; V2: [0,12,14,16,15,13,9,11,10,8,26]</t>
  </si>
  <si>
    <t>V0: [0,2,12,14,16,15,13,9,11,10,26] ; V1: [0,20,22,24,6,23,18,19,17,25,21,8,26] ; V2: [0,5,1,7,3,4,26]</t>
  </si>
  <si>
    <t>instancias/c207,txt</t>
  </si>
  <si>
    <t>264,6319</t>
  </si>
  <si>
    <t>266,7108</t>
  </si>
  <si>
    <t>V0: [0,5,2,1,7,3,4,26] ; V1: [0,8,9,15,19,16,14,12,11,10,26] ; V2: [0,20,22,24,6,23,18,17,13,25,21,26]</t>
  </si>
  <si>
    <t>V0: [0,10,9,13,15,17,25,21,26] ; V1: [0,20,22,24,6,23,18,19,16,14,12,11,8,26] ; V2: [0,5,2,1,7,3,4,26]</t>
  </si>
  <si>
    <t>instancias/c208,txt</t>
  </si>
  <si>
    <t>265,8097</t>
  </si>
  <si>
    <t>V0: [0,12,14,16,19,15,13,9,11,10,8,26] ; V1: [0,5,2,1,7,3,4,26] ; V2: [0,20,22,24,6,23,18,17,25,21,26]</t>
  </si>
  <si>
    <t>V0: [0,20,22,24,6,23,18,17,25,21,26] ; V1: [0,12,14,16,19,15,13,9,11,10,8,26] ; V2: [0,5,2,1,7,3,4,26]</t>
  </si>
  <si>
    <t>literatura</t>
  </si>
  <si>
    <t>Problema</t>
  </si>
  <si>
    <t>Nodes</t>
  </si>
  <si>
    <t>Arcs</t>
  </si>
  <si>
    <t>LP</t>
  </si>
  <si>
    <t>IP</t>
  </si>
  <si>
    <t>Vehicles</t>
  </si>
  <si>
    <t>BB_Nodes</t>
  </si>
  <si>
    <t>Columns</t>
  </si>
  <si>
    <t>CPU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</si>
  <si>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</si>
  <si>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</si>
  <si>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</si>
  <si>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</si>
  <si>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</si>
  <si>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</si>
  <si>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</si>
  <si>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</si>
  <si>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</si>
  <si>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</si>
  <si>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</si>
  <si>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</si>
  <si>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</si>
  <si>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</si>
  <si>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</si>
  <si>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</si>
  <si>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</si>
  <si>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</si>
  <si>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</si>
  <si>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</si>
  <si>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</si>
  <si>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RC101</t>
  </si>
  <si>
    <t>RC102</t>
  </si>
  <si>
    <t>RC103</t>
  </si>
  <si>
    <t>RC104</t>
  </si>
  <si>
    <t>RC105</t>
  </si>
  <si>
    <t>RC106</t>
  </si>
  <si>
    <t>RC107</t>
  </si>
  <si>
    <t>RC108</t>
  </si>
  <si>
    <t>variacao inteiro</t>
  </si>
  <si>
    <t>CPU X</t>
  </si>
  <si>
    <t>BB_Nodes X</t>
  </si>
  <si>
    <t>Columns X</t>
  </si>
  <si>
    <t>LP MODEL %</t>
  </si>
  <si>
    <t>IP BP %</t>
  </si>
  <si>
    <t>testes com MIP</t>
  </si>
  <si>
    <t>instancias/c101N.txt</t>
  </si>
  <si>
    <t>instancias/c102.txt</t>
  </si>
  <si>
    <t>instancias/c103.txt</t>
  </si>
  <si>
    <t>instancias/c104.txt</t>
  </si>
  <si>
    <t>V0: [0,7,8,11,9,6,4,2,1,3,5,26] ; V1: [0,20,24,25,23,22,21,26] ; V2: [0,13,17,18,19,15,16,14,12,10,26]</t>
  </si>
  <si>
    <t>V0: [0,20,24,25,23,22,21,26] ; V1: [0,13,15,12,14,16,19,18,17,10,26] ; V2: [0,7,8,11,9,6,4,2,1,3,5,26]</t>
  </si>
  <si>
    <t>instancias/c105.txt</t>
  </si>
  <si>
    <t>instancias/c106.txt</t>
  </si>
  <si>
    <t>V0: [0,20,24,25,23,22,21,26] ; V1: [0,5,3,7,8,10,11,9,6,4,2,1,26] ; V2: [0,13,17,18,19,15,16,14,12,26]</t>
  </si>
  <si>
    <t>instancias/c107.txt</t>
  </si>
  <si>
    <t>instancias/c108.txt</t>
  </si>
  <si>
    <t>instancias/c109.txt</t>
  </si>
  <si>
    <t>instancias/r101.txt</t>
  </si>
  <si>
    <t>instancias/r102.txt</t>
  </si>
  <si>
    <t>instancias/r103.txt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</si>
</sst>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CCCCCC"/>
      <name val="Consolas"/>
      <family val="3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22" fontId="0" fillId="0" borderId="0" xfId="0" applyNumberFormat="1"/>
    <xf numFmtId="0" fontId="0" fillId="33" borderId="0" xfId="0" applyFill="1"/>
    <xf numFmtId="22" fontId="0" fillId="33" borderId="0" xfId="0" applyNumberFormat="1" applyFill="1"/>
    <xf numFmtId="0" fontId="0" fillId="34" borderId="0" xfId="0" applyFill="1"/>
    <xf numFmtId="22" fontId="0" fillId="34" borderId="0" xfId="0" applyNumberFormat="1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22" fontId="0" fillId="37" borderId="0" xfId="0" applyNumberFormat="1" applyFill="1"/>
    <xf numFmtId="0" fontId="0" fillId="0" borderId="10" xfId="0" applyBorder="1"/>
    <xf numFmtId="22" fontId="0" fillId="0" borderId="10" xfId="0" applyNumberFormat="1" applyBorder="1"/>
    <xf numFmtId="0" fontId="0" fillId="0" borderId="0" xfId="0" applyNumberFormat="1"/>
    <xf numFmtId="0" fontId="0" fillId="0" borderId="11" xfId="0" applyBorder="1"/>
    <xf numFmtId="22" fontId="0" fillId="0" borderId="11" xfId="0" applyNumberFormat="1" applyBorder="1"/>
    <xf numFmtId="0" fontId="0" fillId="38" borderId="12" xfId="0" applyFill="1" applyBorder="1"/>
    <xf numFmtId="3" fontId="0" fillId="38" borderId="12" xfId="0" applyNumberFormat="1" applyFill="1" applyBorder="1"/>
    <xf numFmtId="4" fontId="0" fillId="38" borderId="12" xfId="0" applyNumberFormat="1" applyFill="1" applyBorder="1"/>
    <xf numFmtId="0" fontId="0" fillId="38" borderId="0" xfId="0" applyFill="1"/>
    <xf numFmtId="0" fontId="0" fillId="38" borderId="10" xfId="0" applyFill="1" applyBorder="1"/>
    <xf numFmtId="0" fontId="0" fillId="39" borderId="12" xfId="0" applyFill="1" applyBorder="1"/>
    <xf numFmtId="0" fontId="0" fillId="40" borderId="12" xfId="0" applyFill="1" applyBorder="1"/>
    <xf numFmtId="9" fontId="0" fillId="38" borderId="12" xfId="42" applyFont="1" applyFill="1" applyBorder="1"/>
    <xf numFmtId="0" fontId="0" fillId="41" borderId="12" xfId="0" applyFill="1" applyBorder="1"/>
    <xf numFmtId="0" fontId="0" fillId="41" borderId="13" xfId="0" applyFill="1" applyBorder="1"/>
    <xf numFmtId="0" fontId="0" fillId="38" borderId="13" xfId="0" applyFill="1" applyBorder="1"/>
    <xf numFmtId="0" fontId="0" fillId="39" borderId="13" xfId="0" applyFill="1" applyBorder="1"/>
    <xf numFmtId="0" fontId="0" fillId="40" borderId="13" xfId="0" applyFill="1" applyBorder="1"/>
    <xf numFmtId="9" fontId="0" fillId="38" borderId="13" xfId="42" applyFont="1" applyFill="1" applyBorder="1"/>
    <xf numFmtId="0" fontId="18" fillId="0" borderId="0" xfId="0" applyFont="1" applyAlignment="1">
      <alignment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8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353997</xdr:colOff>
      <xdr:row>3</xdr:row>
      <xdr:rowOff>100795</xdr:rowOff>
    </xdr:from>
    <xdr:to>
      <xdr:col>60</xdr:col>
      <xdr:colOff>438780</xdr:colOff>
      <xdr:row>37</xdr:row>
      <xdr:rowOff>171421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30C3B5-6DF8-7B4A-A1A5-6F09F915A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03435" y="648483"/>
          <a:ext cx="7415225" cy="6273941"/>
        </a:xfrm>
        <a:prstGeom prst="rect">
          <a:avLst/>
        </a:prstGeom>
      </xdr:spPr>
    </xdr:pic>
    <xdr:clientData/>
  </xdr:twoCellAnchor>
  <xdr:twoCellAnchor>
    <xdr:from>
      <xdr:col>48</xdr:col>
      <xdr:colOff>575068</xdr:colOff>
      <xdr:row>12</xdr:row>
      <xdr:rowOff>99527</xdr:rowOff>
    </xdr:from>
    <xdr:to>
      <xdr:col>59</xdr:col>
      <xdr:colOff>530880</xdr:colOff>
      <xdr:row>12</xdr:row>
      <xdr:rowOff>99527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C58ED06C-8F41-69F3-2264-B7F9575CD2A1}"/>
            </a:ext>
          </a:extLst>
        </xdr:cNvPr>
        <xdr:cNvCxnSpPr/>
      </xdr:nvCxnSpPr>
      <xdr:spPr>
        <a:xfrm>
          <a:off x="27824506" y="2290277"/>
          <a:ext cx="667887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602559</xdr:colOff>
      <xdr:row>15</xdr:row>
      <xdr:rowOff>113272</xdr:rowOff>
    </xdr:from>
    <xdr:to>
      <xdr:col>59</xdr:col>
      <xdr:colOff>551386</xdr:colOff>
      <xdr:row>15</xdr:row>
      <xdr:rowOff>113272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BB7DE8A2-A8A6-48A5-B848-FA0188F8300F}"/>
            </a:ext>
          </a:extLst>
        </xdr:cNvPr>
        <xdr:cNvCxnSpPr/>
      </xdr:nvCxnSpPr>
      <xdr:spPr>
        <a:xfrm>
          <a:off x="27851997" y="2851710"/>
          <a:ext cx="667188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586274</xdr:colOff>
      <xdr:row>18</xdr:row>
      <xdr:rowOff>154922</xdr:rowOff>
    </xdr:from>
    <xdr:to>
      <xdr:col>59</xdr:col>
      <xdr:colOff>535736</xdr:colOff>
      <xdr:row>18</xdr:row>
      <xdr:rowOff>154922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F0271DAF-A7B3-40B2-B28E-0213505BA220}"/>
            </a:ext>
          </a:extLst>
        </xdr:cNvPr>
        <xdr:cNvCxnSpPr/>
      </xdr:nvCxnSpPr>
      <xdr:spPr>
        <a:xfrm>
          <a:off x="27835712" y="3441047"/>
          <a:ext cx="667252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24990</xdr:colOff>
      <xdr:row>22</xdr:row>
      <xdr:rowOff>7246</xdr:rowOff>
    </xdr:from>
    <xdr:to>
      <xdr:col>59</xdr:col>
      <xdr:colOff>586274</xdr:colOff>
      <xdr:row>22</xdr:row>
      <xdr:rowOff>7246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741E3134-EBE8-468E-9969-C70E23D54844}"/>
            </a:ext>
          </a:extLst>
        </xdr:cNvPr>
        <xdr:cNvCxnSpPr/>
      </xdr:nvCxnSpPr>
      <xdr:spPr>
        <a:xfrm>
          <a:off x="27885615" y="4023621"/>
          <a:ext cx="667315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67909</xdr:colOff>
      <xdr:row>24</xdr:row>
      <xdr:rowOff>174159</xdr:rowOff>
    </xdr:from>
    <xdr:to>
      <xdr:col>60</xdr:col>
      <xdr:colOff>15465</xdr:colOff>
      <xdr:row>24</xdr:row>
      <xdr:rowOff>174159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42BEF680-D53B-43E9-9DF6-201C56699D0F}"/>
            </a:ext>
          </a:extLst>
        </xdr:cNvPr>
        <xdr:cNvCxnSpPr/>
      </xdr:nvCxnSpPr>
      <xdr:spPr>
        <a:xfrm>
          <a:off x="27928534" y="4555659"/>
          <a:ext cx="6670619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6799</xdr:colOff>
      <xdr:row>28</xdr:row>
      <xdr:rowOff>22673</xdr:rowOff>
    </xdr:from>
    <xdr:to>
      <xdr:col>59</xdr:col>
      <xdr:colOff>569988</xdr:colOff>
      <xdr:row>28</xdr:row>
      <xdr:rowOff>22673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85DD900F-CB80-46D3-8C2E-7806145E5093}"/>
            </a:ext>
          </a:extLst>
        </xdr:cNvPr>
        <xdr:cNvCxnSpPr/>
      </xdr:nvCxnSpPr>
      <xdr:spPr>
        <a:xfrm>
          <a:off x="27867424" y="5134423"/>
          <a:ext cx="667506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221212</xdr:colOff>
      <xdr:row>30</xdr:row>
      <xdr:rowOff>8515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5027FB-5573-64FB-93A7-0E1AE4D43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116485" cy="5550333"/>
        </a:xfrm>
        <a:prstGeom prst="rect">
          <a:avLst/>
        </a:prstGeom>
      </xdr:spPr>
    </xdr:pic>
    <xdr:clientData/>
  </xdr:twoCellAnchor>
  <xdr:twoCellAnchor editAs="oneCell">
    <xdr:from>
      <xdr:col>8</xdr:col>
      <xdr:colOff>340591</xdr:colOff>
      <xdr:row>2</xdr:row>
      <xdr:rowOff>63500</xdr:rowOff>
    </xdr:from>
    <xdr:to>
      <xdr:col>14</xdr:col>
      <xdr:colOff>440729</xdr:colOff>
      <xdr:row>19</xdr:row>
      <xdr:rowOff>177159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71B1788-3943-3C1B-0A73-210CCC9BD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5864" y="432955"/>
          <a:ext cx="3771592" cy="3254022"/>
        </a:xfrm>
        <a:prstGeom prst="rect">
          <a:avLst/>
        </a:prstGeom>
      </xdr:spPr>
    </xdr:pic>
    <xdr:clientData/>
  </xdr:twoCellAnchor>
  <xdr:twoCellAnchor editAs="oneCell">
    <xdr:from>
      <xdr:col>14</xdr:col>
      <xdr:colOff>600364</xdr:colOff>
      <xdr:row>3</xdr:row>
      <xdr:rowOff>57727</xdr:rowOff>
    </xdr:from>
    <xdr:to>
      <xdr:col>21</xdr:col>
      <xdr:colOff>104468</xdr:colOff>
      <xdr:row>19</xdr:row>
      <xdr:rowOff>119238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87D0AD1-8ED2-B184-DD72-E4B0F61BD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67091" y="611909"/>
          <a:ext cx="3787468" cy="301714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EE0E95F-2940-406A-B1DE-C68F61C96A20}" autoFormatId="16" applyNumberFormats="0" applyBorderFormats="0" applyFontFormats="0" applyPatternFormats="0" applyAlignmentFormats="0" applyWidthHeightFormats="0">
  <queryTableRefresh nextId="23">
    <queryTableFields count="22">
      <queryTableField id="1" name="run_id" tableColumnId="1"/>
      <queryTableField id="2" name="arquivo_instancia" tableColumnId="2"/>
      <queryTableField id="3" name="ninst" tableColumnId="3"/>
      <queryTableField id="4" name="tem_janelas" tableColumnId="4"/>
      <queryTableField id="5" name="heuristica_retirada" tableColumnId="5"/>
      <queryTableField id="6" name="tamanho_clientes" tableColumnId="6"/>
      <queryTableField id="7" name="nos_rede" tableColumnId="7"/>
      <queryTableField id="8" name="veiculos" tableColumnId="8"/>
      <queryTableField id="9" name="capacidade" tableColumnId="9"/>
      <queryTableField id="10" name="tabu" tableColumnId="10"/>
      <queryTableField id="11" name="tipo_geracao" tableColumnId="11"/>
      <queryTableField id="12" name="tempo_exato" tableColumnId="12"/>
      <queryTableField id="13" name="tempo_bp" tableColumnId="13"/>
      <queryTableField id="14" name="fo_exato" tableColumnId="14"/>
      <queryTableField id="15" name="fo_bp" tableColumnId="15"/>
      <queryTableField id="16" name="gap_pct" tableColumnId="16"/>
      <queryTableField id="17" name="igual_exato" tableColumnId="17"/>
      <queryTableField id="18" name="nos_bp" tableColumnId="18"/>
      <queryTableField id="19" name="colunas_bp" tableColumnId="19"/>
      <queryTableField id="20" name="seq_exato" tableColumnId="20"/>
      <queryTableField id="21" name="seq_bp" tableColumnId="21"/>
      <queryTableField id="22" name="timestamp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F3D24D-05CD-4016-BCE6-C9E95A36444B}" name="resultados_finais" displayName="resultados_finais" ref="A1:V68" tableType="queryTable" totalsRowShown="0">
  <autoFilter ref="A1:V68" xr:uid="{66F3D24D-05CD-4016-BCE6-C9E95A36444B}"/>
  <tableColumns count="22">
    <tableColumn id="1" xr3:uid="{86D0E9D2-B74D-4419-98E0-33E57F781DCD}" uniqueName="1" name="run_id" queryTableFieldId="1" dataDxfId="7"/>
    <tableColumn id="2" xr3:uid="{BC40DFD0-DF1A-4A97-BE0C-71A06152D494}" uniqueName="2" name="arquivo_instancia" queryTableFieldId="2" dataDxfId="6"/>
    <tableColumn id="3" xr3:uid="{E6F7895F-DC62-4607-853B-EE41E4BE5B21}" uniqueName="3" name="ninst" queryTableFieldId="3"/>
    <tableColumn id="4" xr3:uid="{FB5F97CF-E692-44B8-9E64-084782187453}" uniqueName="4" name="tem_janelas" queryTableFieldId="4"/>
    <tableColumn id="5" xr3:uid="{710E6D7F-4052-4A0F-AFFB-9F24F4AAAAFA}" uniqueName="5" name="heuristica_retirada" queryTableFieldId="5"/>
    <tableColumn id="6" xr3:uid="{039990F4-8D46-42BB-A0F6-BC55C0223C48}" uniqueName="6" name="tamanho_clientes" queryTableFieldId="6"/>
    <tableColumn id="7" xr3:uid="{F0678469-9773-4106-B259-1D6247AC48DB}" uniqueName="7" name="nos_rede" queryTableFieldId="7"/>
    <tableColumn id="8" xr3:uid="{FA9EA601-EBB1-4186-9B51-EA877B792F74}" uniqueName="8" name="veiculos" queryTableFieldId="8"/>
    <tableColumn id="9" xr3:uid="{8DF54BD1-ABC3-433A-BAD9-19768E9BE2A3}" uniqueName="9" name="capacidade" queryTableFieldId="9"/>
    <tableColumn id="10" xr3:uid="{0B186EFA-8A63-4E01-AD68-9233D81CCD47}" uniqueName="10" name="tabu" queryTableFieldId="10"/>
    <tableColumn id="11" xr3:uid="{333AC380-2751-4096-A5DD-DBB6A74B6406}" uniqueName="11" name="tipo_geracao" queryTableFieldId="11" dataDxfId="5"/>
    <tableColumn id="12" xr3:uid="{EBB6F9FA-4BF3-499C-AC5F-63F2980C8E3E}" uniqueName="12" name="tempo_exato" queryTableFieldId="12"/>
    <tableColumn id="13" xr3:uid="{F2912FB7-5793-463A-8F71-175D42FDF326}" uniqueName="13" name="tempo_bp" queryTableFieldId="13"/>
    <tableColumn id="14" xr3:uid="{7253CCC1-28D6-4F57-A4A5-CD2B77FDFDB2}" uniqueName="14" name="fo_exato" queryTableFieldId="14" dataDxfId="4"/>
    <tableColumn id="15" xr3:uid="{FEC364A1-DDF9-4AE4-9E49-9AB44448C2BA}" uniqueName="15" name="fo_bp" queryTableFieldId="15" dataDxfId="3"/>
    <tableColumn id="16" xr3:uid="{9CD88396-2C91-4C7D-B33B-DC0D5062CA2C}" uniqueName="16" name="gap_pct" queryTableFieldId="16"/>
    <tableColumn id="17" xr3:uid="{19735CDA-1108-4263-B3F4-435A81E384F4}" uniqueName="17" name="igual_exato" queryTableFieldId="17"/>
    <tableColumn id="18" xr3:uid="{DAD668EF-6C5D-4217-8E1E-B0453617757F}" uniqueName="18" name="nos_bp" queryTableFieldId="18"/>
    <tableColumn id="19" xr3:uid="{A641574E-073C-4DB0-BC51-9FA8CFB6F24C}" uniqueName="19" name="colunas_bp" queryTableFieldId="19"/>
    <tableColumn id="20" xr3:uid="{44E37B9E-FE8D-48EE-95DC-9BD537354332}" uniqueName="20" name="seq_exato" queryTableFieldId="20" dataDxfId="2"/>
    <tableColumn id="21" xr3:uid="{3C1F62F5-4A8E-421A-931F-723B6FF14B34}" uniqueName="21" name="seq_bp" queryTableFieldId="21" dataDxfId="1"/>
    <tableColumn id="22" xr3:uid="{5EF4D109-8548-4268-9846-CA875A95D38A}" uniqueName="22" name="timestamp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CC053-B091-4F0E-9304-72B9D3E6B324}">
  <dimension ref="A1:AV84"/>
  <sheetViews>
    <sheetView tabSelected="1" zoomScale="40" zoomScaleNormal="40" workbookViewId="0">
      <pane ySplit="1" topLeftCell="A2" activePane="bottomLeft" state="frozen"/>
      <selection activeCell="B1" sqref="B1"/>
      <selection pane="bottomLeft" activeCell="T84" sqref="T84"/>
    </sheetView>
  </sheetViews>
  <sheetFormatPr defaultRowHeight="14.4" x14ac:dyDescent="0.3"/>
  <cols>
    <col min="1" max="1" width="7.5546875" customWidth="1"/>
    <col min="2" max="2" width="35.44140625" customWidth="1"/>
    <col min="6" max="11" width="0" hidden="1" customWidth="1"/>
    <col min="12" max="12" width="11.21875" bestFit="1" customWidth="1"/>
    <col min="13" max="13" width="8.88671875" style="23"/>
    <col min="14" max="14" width="8.88671875" style="15"/>
    <col min="15" max="15" width="9.109375" style="15" customWidth="1"/>
    <col min="18" max="18" width="8.88671875" style="20"/>
    <col min="19" max="19" width="14.88671875" style="20" customWidth="1"/>
    <col min="21" max="21" width="4.33203125" customWidth="1"/>
    <col min="22" max="22" width="18.21875" bestFit="1" customWidth="1"/>
    <col min="28" max="29" width="8.88671875" style="15"/>
    <col min="32" max="33" width="8.88671875" style="20"/>
    <col min="35" max="35" width="16.21875" style="18" customWidth="1"/>
    <col min="36" max="36" width="8.88671875" style="18"/>
    <col min="37" max="39" width="12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3" t="s">
        <v>12</v>
      </c>
      <c r="N1" s="15" t="s">
        <v>13</v>
      </c>
      <c r="O1" s="15" t="s">
        <v>14</v>
      </c>
      <c r="P1" t="s">
        <v>15</v>
      </c>
      <c r="Q1" t="s">
        <v>16</v>
      </c>
      <c r="R1" s="20" t="s">
        <v>17</v>
      </c>
      <c r="S1" s="20" t="s">
        <v>18</v>
      </c>
      <c r="T1" t="s">
        <v>19</v>
      </c>
      <c r="U1" t="s">
        <v>20</v>
      </c>
      <c r="V1" t="s">
        <v>21</v>
      </c>
    </row>
    <row r="2" spans="1:48" x14ac:dyDescent="0.3">
      <c r="M2" s="23">
        <v>18</v>
      </c>
      <c r="Y2" t="s">
        <v>175</v>
      </c>
    </row>
    <row r="3" spans="1:48" s="2" customFormat="1" x14ac:dyDescent="0.3">
      <c r="A3" s="2" t="s">
        <v>22</v>
      </c>
      <c r="B3" s="2" t="s">
        <v>23</v>
      </c>
      <c r="C3" s="2">
        <v>0</v>
      </c>
      <c r="D3" s="2">
        <v>1</v>
      </c>
      <c r="E3" s="2">
        <v>10</v>
      </c>
      <c r="F3" s="2">
        <v>25</v>
      </c>
      <c r="G3" s="2">
        <v>27</v>
      </c>
      <c r="H3" s="2">
        <v>3</v>
      </c>
      <c r="I3" s="2">
        <v>200</v>
      </c>
      <c r="J3" s="2">
        <v>0</v>
      </c>
      <c r="K3" s="2" t="s">
        <v>24</v>
      </c>
      <c r="L3" s="2">
        <v>0.2858</v>
      </c>
      <c r="M3" s="23">
        <v>205.2841</v>
      </c>
      <c r="N3" s="15">
        <v>191.81360000000001</v>
      </c>
      <c r="O3" s="15">
        <v>191.81360000000001</v>
      </c>
      <c r="P3" s="2">
        <v>0</v>
      </c>
      <c r="Q3" s="2">
        <v>1</v>
      </c>
      <c r="R3" s="20">
        <v>1</v>
      </c>
      <c r="S3" s="20">
        <v>423</v>
      </c>
      <c r="T3" s="2" t="s">
        <v>25</v>
      </c>
      <c r="U3" s="2" t="s">
        <v>26</v>
      </c>
      <c r="V3" s="3">
        <v>46106.768750000003</v>
      </c>
      <c r="Z3" s="2" t="s">
        <v>176</v>
      </c>
      <c r="AA3" s="2" t="s">
        <v>177</v>
      </c>
      <c r="AB3" s="15" t="s">
        <v>178</v>
      </c>
      <c r="AC3" s="15" t="s">
        <v>179</v>
      </c>
      <c r="AD3" s="2" t="s">
        <v>180</v>
      </c>
      <c r="AE3" s="2" t="s">
        <v>181</v>
      </c>
      <c r="AF3" s="20" t="s">
        <v>182</v>
      </c>
      <c r="AG3" s="20" t="s">
        <v>183</v>
      </c>
      <c r="AH3" s="2" t="s">
        <v>184</v>
      </c>
      <c r="AI3" s="18"/>
      <c r="AJ3" s="18"/>
      <c r="AN3" s="2" t="s">
        <v>176</v>
      </c>
      <c r="AO3" s="2" t="s">
        <v>177</v>
      </c>
      <c r="AP3" s="2" t="s">
        <v>178</v>
      </c>
      <c r="AQ3" s="2" t="s">
        <v>179</v>
      </c>
      <c r="AR3" s="2" t="s">
        <v>180</v>
      </c>
      <c r="AS3" s="2" t="s">
        <v>181</v>
      </c>
      <c r="AT3" s="2" t="s">
        <v>182</v>
      </c>
      <c r="AU3" s="2" t="s">
        <v>183</v>
      </c>
      <c r="AV3" s="2" t="s">
        <v>184</v>
      </c>
    </row>
    <row r="4" spans="1:48" x14ac:dyDescent="0.3">
      <c r="A4" t="s">
        <v>27</v>
      </c>
      <c r="B4" t="s">
        <v>23</v>
      </c>
      <c r="C4">
        <v>0</v>
      </c>
      <c r="D4">
        <v>1</v>
      </c>
      <c r="E4">
        <v>0</v>
      </c>
      <c r="F4">
        <v>25</v>
      </c>
      <c r="G4">
        <v>27</v>
      </c>
      <c r="H4">
        <v>3</v>
      </c>
      <c r="I4">
        <v>200</v>
      </c>
      <c r="J4">
        <v>0</v>
      </c>
      <c r="K4" t="s">
        <v>24</v>
      </c>
      <c r="L4">
        <v>0.2858</v>
      </c>
      <c r="M4" s="23">
        <v>222.3433</v>
      </c>
      <c r="N4" s="15">
        <v>191.81360000000001</v>
      </c>
      <c r="O4" s="15">
        <v>191.81360000000001</v>
      </c>
      <c r="P4">
        <v>0</v>
      </c>
      <c r="Q4">
        <v>1</v>
      </c>
      <c r="R4" s="20">
        <v>1</v>
      </c>
      <c r="S4" s="20">
        <v>273</v>
      </c>
      <c r="T4" t="s">
        <v>25</v>
      </c>
      <c r="U4" t="s">
        <v>25</v>
      </c>
      <c r="V4" s="1">
        <v>46106.776388888888</v>
      </c>
      <c r="AN4" t="s">
        <v>185</v>
      </c>
      <c r="AO4">
        <v>25</v>
      </c>
      <c r="AP4">
        <v>227</v>
      </c>
      <c r="AQ4">
        <v>617.1</v>
      </c>
      <c r="AR4">
        <v>617.1</v>
      </c>
      <c r="AS4">
        <v>8</v>
      </c>
      <c r="AT4">
        <v>1</v>
      </c>
      <c r="AU4">
        <v>78</v>
      </c>
      <c r="AV4">
        <v>5.8</v>
      </c>
    </row>
    <row r="5" spans="1:48" x14ac:dyDescent="0.3">
      <c r="A5" t="s">
        <v>28</v>
      </c>
      <c r="B5" t="s">
        <v>23</v>
      </c>
      <c r="C5">
        <v>0</v>
      </c>
      <c r="D5">
        <v>1</v>
      </c>
      <c r="E5">
        <v>1</v>
      </c>
      <c r="F5">
        <v>25</v>
      </c>
      <c r="G5">
        <v>27</v>
      </c>
      <c r="H5">
        <v>3</v>
      </c>
      <c r="I5">
        <v>200</v>
      </c>
      <c r="J5">
        <v>0</v>
      </c>
      <c r="K5" t="s">
        <v>24</v>
      </c>
      <c r="L5">
        <v>0.2858</v>
      </c>
      <c r="M5" s="23">
        <v>377.93639999999999</v>
      </c>
      <c r="N5" s="15">
        <v>191.81360000000001</v>
      </c>
      <c r="O5" s="15">
        <v>191.81360000000001</v>
      </c>
      <c r="P5">
        <v>0</v>
      </c>
      <c r="Q5">
        <v>1</v>
      </c>
      <c r="R5" s="20">
        <v>1</v>
      </c>
      <c r="S5" s="20">
        <v>393</v>
      </c>
      <c r="T5" t="s">
        <v>25</v>
      </c>
      <c r="U5" t="s">
        <v>26</v>
      </c>
      <c r="V5" s="1">
        <v>46106.780555555553</v>
      </c>
      <c r="Y5" t="s">
        <v>176</v>
      </c>
      <c r="Z5" t="s">
        <v>177</v>
      </c>
      <c r="AA5" t="s">
        <v>178</v>
      </c>
      <c r="AB5" s="15" t="s">
        <v>179</v>
      </c>
      <c r="AC5" s="15" t="s">
        <v>180</v>
      </c>
      <c r="AD5" t="s">
        <v>181</v>
      </c>
      <c r="AE5" t="s">
        <v>182</v>
      </c>
      <c r="AF5" s="20" t="s">
        <v>183</v>
      </c>
      <c r="AG5" s="20" t="s">
        <v>184</v>
      </c>
      <c r="AN5" t="s">
        <v>185</v>
      </c>
      <c r="AO5">
        <v>50</v>
      </c>
      <c r="AP5">
        <v>817</v>
      </c>
      <c r="AQ5">
        <v>1034.5999999999999</v>
      </c>
      <c r="AR5">
        <v>1035.2</v>
      </c>
      <c r="AS5">
        <v>12</v>
      </c>
      <c r="AT5">
        <v>11</v>
      </c>
      <c r="AU5">
        <v>1395</v>
      </c>
      <c r="AV5">
        <v>66.7</v>
      </c>
    </row>
    <row r="6" spans="1:48" x14ac:dyDescent="0.3">
      <c r="A6" t="s">
        <v>29</v>
      </c>
      <c r="B6" t="s">
        <v>23</v>
      </c>
      <c r="C6">
        <v>0</v>
      </c>
      <c r="D6">
        <v>1</v>
      </c>
      <c r="E6">
        <v>2</v>
      </c>
      <c r="F6">
        <v>25</v>
      </c>
      <c r="G6">
        <v>27</v>
      </c>
      <c r="H6">
        <v>3</v>
      </c>
      <c r="I6">
        <v>200</v>
      </c>
      <c r="J6">
        <v>0</v>
      </c>
      <c r="K6" t="s">
        <v>24</v>
      </c>
      <c r="L6">
        <v>0.2858</v>
      </c>
      <c r="M6" s="23">
        <v>539.49019999999996</v>
      </c>
      <c r="N6" s="15">
        <v>191.81360000000001</v>
      </c>
      <c r="O6" s="15">
        <v>191.81360000000001</v>
      </c>
      <c r="P6">
        <v>0</v>
      </c>
      <c r="Q6">
        <v>1</v>
      </c>
      <c r="R6" s="20">
        <v>1</v>
      </c>
      <c r="S6" s="20">
        <v>509</v>
      </c>
      <c r="T6" t="s">
        <v>25</v>
      </c>
      <c r="U6" t="s">
        <v>30</v>
      </c>
      <c r="V6" s="1">
        <v>46106.786805555559</v>
      </c>
      <c r="Y6" t="s">
        <v>185</v>
      </c>
      <c r="Z6">
        <v>25</v>
      </c>
      <c r="AA6">
        <v>227</v>
      </c>
      <c r="AB6" s="15">
        <v>617.1</v>
      </c>
      <c r="AC6" s="15">
        <v>617.1</v>
      </c>
      <c r="AD6">
        <v>8</v>
      </c>
      <c r="AE6">
        <v>1</v>
      </c>
      <c r="AF6" s="20">
        <v>78</v>
      </c>
      <c r="AG6" s="20">
        <v>5.8</v>
      </c>
      <c r="AN6" t="s">
        <v>185</v>
      </c>
      <c r="AO6">
        <v>100</v>
      </c>
      <c r="AP6">
        <v>3272</v>
      </c>
      <c r="AQ6">
        <v>1604.5</v>
      </c>
      <c r="AR6">
        <v>1607.7</v>
      </c>
      <c r="AS6">
        <v>18</v>
      </c>
      <c r="AT6">
        <v>23</v>
      </c>
      <c r="AU6">
        <v>8596</v>
      </c>
      <c r="AV6">
        <v>1064.2</v>
      </c>
    </row>
    <row r="7" spans="1:48" x14ac:dyDescent="0.3">
      <c r="A7" t="s">
        <v>31</v>
      </c>
      <c r="B7" t="s">
        <v>23</v>
      </c>
      <c r="C7">
        <v>0</v>
      </c>
      <c r="D7">
        <v>1</v>
      </c>
      <c r="E7">
        <v>3</v>
      </c>
      <c r="F7">
        <v>25</v>
      </c>
      <c r="G7">
        <v>27</v>
      </c>
      <c r="H7">
        <v>3</v>
      </c>
      <c r="I7">
        <v>200</v>
      </c>
      <c r="J7">
        <v>0</v>
      </c>
      <c r="K7" t="s">
        <v>24</v>
      </c>
      <c r="L7">
        <v>0.2858</v>
      </c>
      <c r="M7" s="23">
        <v>803.63969999999995</v>
      </c>
      <c r="N7" s="15">
        <v>191.81360000000001</v>
      </c>
      <c r="O7" s="15">
        <v>211.57980000000001</v>
      </c>
      <c r="P7">
        <v>10.3049</v>
      </c>
      <c r="Q7">
        <v>0</v>
      </c>
      <c r="R7" s="20">
        <v>45</v>
      </c>
      <c r="S7" s="20">
        <v>1050</v>
      </c>
      <c r="T7" t="s">
        <v>25</v>
      </c>
      <c r="U7" t="s">
        <v>32</v>
      </c>
      <c r="V7" s="1">
        <v>46106.796527777777</v>
      </c>
      <c r="Y7" t="s">
        <v>186</v>
      </c>
      <c r="Z7">
        <v>25</v>
      </c>
      <c r="AA7">
        <v>404</v>
      </c>
      <c r="AB7" s="15">
        <v>546.4</v>
      </c>
      <c r="AC7" s="15">
        <v>547.1</v>
      </c>
      <c r="AD7">
        <v>7</v>
      </c>
      <c r="AE7">
        <v>3</v>
      </c>
      <c r="AF7" s="20">
        <v>165</v>
      </c>
      <c r="AG7" s="20">
        <v>20.3</v>
      </c>
      <c r="AN7" t="s">
        <v>186</v>
      </c>
      <c r="AO7">
        <v>25</v>
      </c>
      <c r="AP7">
        <v>404</v>
      </c>
      <c r="AQ7">
        <v>546.4</v>
      </c>
      <c r="AR7">
        <v>547.1</v>
      </c>
      <c r="AS7">
        <v>7</v>
      </c>
      <c r="AT7">
        <v>3</v>
      </c>
      <c r="AU7">
        <v>165</v>
      </c>
      <c r="AV7">
        <v>20.3</v>
      </c>
    </row>
    <row r="8" spans="1:48" x14ac:dyDescent="0.3">
      <c r="A8" t="s">
        <v>31</v>
      </c>
      <c r="B8" t="s">
        <v>23</v>
      </c>
      <c r="C8">
        <v>0</v>
      </c>
      <c r="D8">
        <v>1</v>
      </c>
      <c r="E8">
        <v>22</v>
      </c>
      <c r="F8">
        <v>25</v>
      </c>
      <c r="G8">
        <v>27</v>
      </c>
      <c r="H8">
        <v>3</v>
      </c>
      <c r="I8">
        <v>200</v>
      </c>
      <c r="J8">
        <v>0</v>
      </c>
      <c r="K8" t="s">
        <v>24</v>
      </c>
      <c r="L8">
        <v>0.2858</v>
      </c>
      <c r="M8" s="23">
        <v>3365</v>
      </c>
      <c r="N8" s="15">
        <v>191.81360000000001</v>
      </c>
      <c r="O8" s="15">
        <v>191.81360000000001</v>
      </c>
      <c r="P8">
        <v>0</v>
      </c>
      <c r="Q8">
        <v>0</v>
      </c>
      <c r="R8" s="20">
        <v>1</v>
      </c>
      <c r="S8" s="20">
        <v>354</v>
      </c>
      <c r="T8" t="s">
        <v>25</v>
      </c>
      <c r="U8" t="s">
        <v>32</v>
      </c>
      <c r="V8" s="1">
        <v>46106.796527777777</v>
      </c>
      <c r="Y8" t="s">
        <v>187</v>
      </c>
      <c r="Z8">
        <v>25</v>
      </c>
      <c r="AA8">
        <v>510</v>
      </c>
      <c r="AB8" s="15">
        <v>454.6</v>
      </c>
      <c r="AC8" s="15">
        <v>454.6</v>
      </c>
      <c r="AD8">
        <v>5</v>
      </c>
      <c r="AE8">
        <v>1</v>
      </c>
      <c r="AF8" s="20">
        <v>246</v>
      </c>
      <c r="AG8" s="20">
        <v>22.2</v>
      </c>
      <c r="AN8" t="s">
        <v>186</v>
      </c>
      <c r="AO8">
        <v>50</v>
      </c>
      <c r="AP8">
        <v>1437</v>
      </c>
      <c r="AQ8">
        <v>904.6</v>
      </c>
      <c r="AR8">
        <v>904.6</v>
      </c>
      <c r="AS8">
        <v>11</v>
      </c>
      <c r="AT8">
        <v>1</v>
      </c>
      <c r="AU8">
        <v>591</v>
      </c>
      <c r="AV8">
        <v>67.8</v>
      </c>
    </row>
    <row r="9" spans="1:48" x14ac:dyDescent="0.3">
      <c r="A9" t="s">
        <v>33</v>
      </c>
      <c r="B9" t="s">
        <v>34</v>
      </c>
      <c r="C9">
        <v>1</v>
      </c>
      <c r="D9">
        <v>0</v>
      </c>
      <c r="E9">
        <v>10</v>
      </c>
      <c r="F9">
        <v>25</v>
      </c>
      <c r="G9">
        <v>27</v>
      </c>
      <c r="H9">
        <v>3</v>
      </c>
      <c r="I9">
        <v>200</v>
      </c>
      <c r="J9">
        <v>0</v>
      </c>
      <c r="K9" t="s">
        <v>24</v>
      </c>
      <c r="L9">
        <v>1203.0710999999999</v>
      </c>
      <c r="M9" s="23">
        <v>3766.1898999999999</v>
      </c>
      <c r="N9" s="15">
        <v>188.04929999999999</v>
      </c>
      <c r="O9" s="15">
        <v>189.30410000000001</v>
      </c>
      <c r="P9">
        <v>0.6673</v>
      </c>
      <c r="Q9">
        <v>0</v>
      </c>
      <c r="R9" s="20">
        <v>4</v>
      </c>
      <c r="S9" s="20">
        <v>742</v>
      </c>
      <c r="T9" t="s">
        <v>35</v>
      </c>
      <c r="U9" t="s">
        <v>36</v>
      </c>
      <c r="V9" s="1">
        <v>46106.853472222225</v>
      </c>
      <c r="Y9" t="s">
        <v>188</v>
      </c>
      <c r="Z9">
        <v>25</v>
      </c>
      <c r="AA9">
        <v>559</v>
      </c>
      <c r="AB9" s="15">
        <v>416.9</v>
      </c>
      <c r="AC9" s="15">
        <v>416.9</v>
      </c>
      <c r="AD9">
        <v>4</v>
      </c>
      <c r="AE9">
        <v>1</v>
      </c>
      <c r="AF9" s="20">
        <v>419</v>
      </c>
      <c r="AG9" s="20">
        <v>46</v>
      </c>
      <c r="AN9" t="s">
        <v>186</v>
      </c>
      <c r="AO9">
        <v>100</v>
      </c>
      <c r="AP9">
        <v>5336</v>
      </c>
      <c r="AQ9">
        <v>1434</v>
      </c>
      <c r="AR9">
        <v>1434</v>
      </c>
      <c r="AS9">
        <v>17</v>
      </c>
      <c r="AT9">
        <v>1</v>
      </c>
      <c r="AU9">
        <v>2126</v>
      </c>
      <c r="AV9">
        <v>756.9</v>
      </c>
    </row>
    <row r="10" spans="1:48" x14ac:dyDescent="0.3">
      <c r="A10" t="s">
        <v>37</v>
      </c>
      <c r="B10" t="s">
        <v>34</v>
      </c>
      <c r="C10">
        <v>1</v>
      </c>
      <c r="D10">
        <v>0</v>
      </c>
      <c r="E10">
        <v>0</v>
      </c>
      <c r="F10">
        <v>25</v>
      </c>
      <c r="G10">
        <v>27</v>
      </c>
      <c r="H10">
        <v>3</v>
      </c>
      <c r="I10">
        <v>200</v>
      </c>
      <c r="J10">
        <v>0</v>
      </c>
      <c r="K10" t="s">
        <v>24</v>
      </c>
      <c r="L10">
        <v>1203.0710999999999</v>
      </c>
      <c r="M10" s="23">
        <v>4701.9394000000002</v>
      </c>
      <c r="N10" s="15">
        <v>188.04929999999999</v>
      </c>
      <c r="O10" s="15">
        <v>219.4</v>
      </c>
      <c r="P10">
        <v>16.671500000000002</v>
      </c>
      <c r="Q10">
        <v>0</v>
      </c>
      <c r="R10" s="20">
        <v>7</v>
      </c>
      <c r="S10" s="20">
        <v>1071</v>
      </c>
      <c r="T10" t="s">
        <v>35</v>
      </c>
      <c r="U10" t="s">
        <v>38</v>
      </c>
      <c r="V10" s="1">
        <v>46106.908333333333</v>
      </c>
      <c r="Y10" t="s">
        <v>189</v>
      </c>
      <c r="Z10">
        <v>25</v>
      </c>
      <c r="AA10">
        <v>303</v>
      </c>
      <c r="AB10" s="15">
        <v>526</v>
      </c>
      <c r="AC10" s="15">
        <v>530.5</v>
      </c>
      <c r="AD10">
        <v>6</v>
      </c>
      <c r="AE10">
        <v>7</v>
      </c>
      <c r="AF10" s="20">
        <v>554</v>
      </c>
      <c r="AG10" s="20">
        <v>22.6</v>
      </c>
      <c r="AN10" t="s">
        <v>187</v>
      </c>
      <c r="AO10">
        <v>25</v>
      </c>
      <c r="AP10">
        <v>510</v>
      </c>
      <c r="AQ10">
        <v>454.6</v>
      </c>
      <c r="AR10">
        <v>454.6</v>
      </c>
      <c r="AS10">
        <v>5</v>
      </c>
      <c r="AT10">
        <v>1</v>
      </c>
      <c r="AU10">
        <v>246</v>
      </c>
      <c r="AV10">
        <v>22.2</v>
      </c>
    </row>
    <row r="11" spans="1:48" x14ac:dyDescent="0.3">
      <c r="A11" t="s">
        <v>39</v>
      </c>
      <c r="B11" t="s">
        <v>34</v>
      </c>
      <c r="C11">
        <v>1</v>
      </c>
      <c r="D11">
        <v>0</v>
      </c>
      <c r="E11">
        <v>1</v>
      </c>
      <c r="F11">
        <v>25</v>
      </c>
      <c r="G11">
        <v>27</v>
      </c>
      <c r="H11">
        <v>3</v>
      </c>
      <c r="I11">
        <v>200</v>
      </c>
      <c r="J11">
        <v>0</v>
      </c>
      <c r="K11" t="s">
        <v>24</v>
      </c>
      <c r="L11">
        <v>1203.0710999999999</v>
      </c>
      <c r="M11" s="23">
        <v>3618.8218000000002</v>
      </c>
      <c r="N11" s="15">
        <v>188.04929999999999</v>
      </c>
      <c r="O11" s="15">
        <v>204.3185</v>
      </c>
      <c r="P11">
        <v>8.6516000000000002</v>
      </c>
      <c r="Q11">
        <v>0</v>
      </c>
      <c r="R11" s="20">
        <v>30</v>
      </c>
      <c r="S11" s="20">
        <v>1519</v>
      </c>
      <c r="T11" t="s">
        <v>35</v>
      </c>
      <c r="U11" t="s">
        <v>40</v>
      </c>
      <c r="V11" s="1">
        <v>46106.95</v>
      </c>
      <c r="Y11" t="s">
        <v>190</v>
      </c>
      <c r="Z11">
        <v>25</v>
      </c>
      <c r="AA11">
        <v>458</v>
      </c>
      <c r="AB11" s="15">
        <v>457.3</v>
      </c>
      <c r="AC11" s="15">
        <v>467.4</v>
      </c>
      <c r="AD11">
        <v>5</v>
      </c>
      <c r="AE11">
        <v>15</v>
      </c>
      <c r="AF11" s="20">
        <v>2451</v>
      </c>
      <c r="AG11" s="20">
        <v>205.2</v>
      </c>
      <c r="AN11" t="s">
        <v>187</v>
      </c>
      <c r="AO11">
        <v>50</v>
      </c>
      <c r="AP11">
        <v>1859</v>
      </c>
      <c r="AQ11">
        <v>765.4</v>
      </c>
      <c r="AR11">
        <v>772.5</v>
      </c>
      <c r="AS11">
        <v>9</v>
      </c>
      <c r="AT11">
        <v>173</v>
      </c>
      <c r="AU11">
        <v>37330</v>
      </c>
      <c r="AV11">
        <v>8939.1</v>
      </c>
    </row>
    <row r="12" spans="1:48" x14ac:dyDescent="0.3">
      <c r="A12" t="s">
        <v>41</v>
      </c>
      <c r="B12" t="s">
        <v>34</v>
      </c>
      <c r="C12">
        <v>1</v>
      </c>
      <c r="D12">
        <v>0</v>
      </c>
      <c r="E12">
        <v>2</v>
      </c>
      <c r="F12">
        <v>25</v>
      </c>
      <c r="G12">
        <v>27</v>
      </c>
      <c r="H12">
        <v>3</v>
      </c>
      <c r="I12">
        <v>200</v>
      </c>
      <c r="J12">
        <v>0</v>
      </c>
      <c r="K12" t="s">
        <v>24</v>
      </c>
      <c r="L12">
        <v>1203.0710999999999</v>
      </c>
      <c r="M12" s="23">
        <v>4049.2914000000001</v>
      </c>
      <c r="N12" s="15">
        <v>188.04929999999999</v>
      </c>
      <c r="O12" s="15">
        <v>220.27629999999999</v>
      </c>
      <c r="P12">
        <v>17.137499999999999</v>
      </c>
      <c r="Q12">
        <v>0</v>
      </c>
      <c r="R12" s="20">
        <v>36</v>
      </c>
      <c r="S12" s="20">
        <v>2106</v>
      </c>
      <c r="T12" t="s">
        <v>35</v>
      </c>
      <c r="U12" t="s">
        <v>42</v>
      </c>
      <c r="V12" s="1">
        <v>46106.99722222222</v>
      </c>
      <c r="Y12" t="s">
        <v>191</v>
      </c>
      <c r="Z12">
        <v>25</v>
      </c>
      <c r="AA12">
        <v>542</v>
      </c>
      <c r="AB12" s="15">
        <v>423</v>
      </c>
      <c r="AC12" s="15">
        <v>424.3</v>
      </c>
      <c r="AD12">
        <v>4</v>
      </c>
      <c r="AE12">
        <v>21</v>
      </c>
      <c r="AF12" s="20">
        <v>3191</v>
      </c>
      <c r="AG12" s="20">
        <v>304.10000000000002</v>
      </c>
      <c r="AN12" t="s">
        <v>188</v>
      </c>
      <c r="AO12">
        <v>25</v>
      </c>
      <c r="AP12">
        <v>559</v>
      </c>
      <c r="AQ12">
        <v>416.9</v>
      </c>
      <c r="AR12">
        <v>416.9</v>
      </c>
      <c r="AS12">
        <v>4</v>
      </c>
      <c r="AT12">
        <v>1</v>
      </c>
      <c r="AU12">
        <v>419</v>
      </c>
      <c r="AV12">
        <v>46</v>
      </c>
    </row>
    <row r="13" spans="1:48" x14ac:dyDescent="0.3">
      <c r="A13" t="s">
        <v>43</v>
      </c>
      <c r="B13" t="s">
        <v>34</v>
      </c>
      <c r="C13">
        <v>1</v>
      </c>
      <c r="D13">
        <v>0</v>
      </c>
      <c r="E13" s="7">
        <v>3</v>
      </c>
      <c r="F13">
        <v>25</v>
      </c>
      <c r="G13">
        <v>27</v>
      </c>
      <c r="H13">
        <v>3</v>
      </c>
      <c r="I13">
        <v>200</v>
      </c>
      <c r="J13">
        <v>0</v>
      </c>
      <c r="K13" t="s">
        <v>24</v>
      </c>
      <c r="L13">
        <v>1203.0710999999999</v>
      </c>
      <c r="M13" s="23">
        <v>1269.6313</v>
      </c>
      <c r="N13" s="15">
        <v>188.04929999999999</v>
      </c>
      <c r="O13" s="15">
        <v>189.00219999999999</v>
      </c>
      <c r="P13" s="7">
        <v>0.50670000000000004</v>
      </c>
      <c r="Q13">
        <v>0</v>
      </c>
      <c r="R13" s="20">
        <v>43</v>
      </c>
      <c r="S13" s="20">
        <v>1855</v>
      </c>
      <c r="T13" t="s">
        <v>35</v>
      </c>
      <c r="U13" t="s">
        <v>44</v>
      </c>
      <c r="V13" s="1">
        <v>46107.011805555558</v>
      </c>
      <c r="Y13" t="s">
        <v>192</v>
      </c>
      <c r="Z13">
        <v>25</v>
      </c>
      <c r="AA13">
        <v>586</v>
      </c>
      <c r="AB13" s="15">
        <v>396.2</v>
      </c>
      <c r="AC13" s="15">
        <v>397.2</v>
      </c>
      <c r="AD13">
        <v>4</v>
      </c>
      <c r="AE13">
        <v>3</v>
      </c>
      <c r="AF13" s="20">
        <v>1041</v>
      </c>
      <c r="AG13" s="20">
        <v>307.39999999999998</v>
      </c>
      <c r="AN13" t="s">
        <v>189</v>
      </c>
      <c r="AO13">
        <v>25</v>
      </c>
      <c r="AP13">
        <v>303</v>
      </c>
      <c r="AQ13">
        <v>526</v>
      </c>
      <c r="AR13">
        <v>530.5</v>
      </c>
      <c r="AS13">
        <v>6</v>
      </c>
      <c r="AT13">
        <v>7</v>
      </c>
      <c r="AU13">
        <v>554</v>
      </c>
      <c r="AV13">
        <v>22.6</v>
      </c>
    </row>
    <row r="14" spans="1:48" x14ac:dyDescent="0.3">
      <c r="E14" s="7"/>
      <c r="M14" s="23">
        <v>79</v>
      </c>
      <c r="P14" s="7"/>
      <c r="V14" s="1"/>
      <c r="Y14" t="s">
        <v>193</v>
      </c>
      <c r="Z14">
        <v>25</v>
      </c>
      <c r="AA14">
        <v>411</v>
      </c>
      <c r="AB14" s="15">
        <v>441.3</v>
      </c>
      <c r="AC14" s="15">
        <v>441.3</v>
      </c>
      <c r="AD14">
        <v>5</v>
      </c>
      <c r="AE14">
        <v>1</v>
      </c>
      <c r="AF14" s="20">
        <v>207</v>
      </c>
      <c r="AG14" s="20">
        <v>14.4</v>
      </c>
      <c r="AN14" t="s">
        <v>189</v>
      </c>
      <c r="AO14">
        <v>50</v>
      </c>
      <c r="AP14">
        <v>1076</v>
      </c>
      <c r="AQ14">
        <v>891.7</v>
      </c>
      <c r="AR14">
        <v>899.3</v>
      </c>
      <c r="AS14">
        <v>9</v>
      </c>
      <c r="AT14">
        <v>33</v>
      </c>
      <c r="AU14">
        <v>4458</v>
      </c>
      <c r="AV14">
        <v>362.6</v>
      </c>
    </row>
    <row r="15" spans="1:48" s="4" customFormat="1" x14ac:dyDescent="0.3">
      <c r="A15" s="4" t="s">
        <v>22</v>
      </c>
      <c r="B15" s="4" t="s">
        <v>45</v>
      </c>
      <c r="C15" s="4">
        <v>0</v>
      </c>
      <c r="D15" s="4">
        <v>0</v>
      </c>
      <c r="E15" s="4">
        <v>10</v>
      </c>
      <c r="F15" s="4">
        <v>25</v>
      </c>
      <c r="G15" s="4">
        <v>27</v>
      </c>
      <c r="H15" s="4">
        <v>3</v>
      </c>
      <c r="I15" s="4">
        <v>200</v>
      </c>
      <c r="J15" s="4">
        <v>0</v>
      </c>
      <c r="K15" s="4" t="s">
        <v>24</v>
      </c>
      <c r="L15" s="4">
        <v>209.893</v>
      </c>
      <c r="M15" s="23">
        <v>765</v>
      </c>
      <c r="N15" s="15" t="s">
        <v>46</v>
      </c>
      <c r="O15" s="16">
        <v>1907376</v>
      </c>
      <c r="P15" s="4">
        <v>0</v>
      </c>
      <c r="Q15" s="4">
        <v>1</v>
      </c>
      <c r="R15" s="20">
        <v>1</v>
      </c>
      <c r="S15" s="20">
        <v>615</v>
      </c>
      <c r="T15" s="4" t="s">
        <v>47</v>
      </c>
      <c r="U15" s="4" t="s">
        <v>48</v>
      </c>
      <c r="V15" s="5">
        <v>46107.377083333333</v>
      </c>
      <c r="Y15" s="4" t="s">
        <v>194</v>
      </c>
      <c r="Z15" s="4">
        <v>25</v>
      </c>
      <c r="AA15" s="4">
        <v>530</v>
      </c>
      <c r="AB15" s="15">
        <v>425.4</v>
      </c>
      <c r="AC15" s="15">
        <v>429.5</v>
      </c>
      <c r="AD15" s="4">
        <v>4</v>
      </c>
      <c r="AE15" s="4">
        <v>5</v>
      </c>
      <c r="AF15" s="20">
        <v>655</v>
      </c>
      <c r="AG15" s="20">
        <v>64.3</v>
      </c>
      <c r="AI15" s="18"/>
      <c r="AJ15" s="18"/>
      <c r="AN15" s="4" t="s">
        <v>190</v>
      </c>
      <c r="AO15" s="4">
        <v>25</v>
      </c>
      <c r="AP15" s="4">
        <v>458</v>
      </c>
      <c r="AQ15" s="4">
        <v>457.3</v>
      </c>
      <c r="AR15" s="4">
        <v>467.4</v>
      </c>
      <c r="AS15" s="4">
        <v>5</v>
      </c>
      <c r="AT15" s="4">
        <v>15</v>
      </c>
      <c r="AU15" s="4">
        <v>2451</v>
      </c>
      <c r="AV15" s="4">
        <v>205.2</v>
      </c>
    </row>
    <row r="16" spans="1:48" x14ac:dyDescent="0.3">
      <c r="A16" t="s">
        <v>27</v>
      </c>
      <c r="B16" t="s">
        <v>45</v>
      </c>
      <c r="C16">
        <v>0</v>
      </c>
      <c r="D16">
        <v>0</v>
      </c>
      <c r="E16">
        <v>0</v>
      </c>
      <c r="F16">
        <v>25</v>
      </c>
      <c r="G16">
        <v>27</v>
      </c>
      <c r="H16">
        <v>3</v>
      </c>
      <c r="I16">
        <v>200</v>
      </c>
      <c r="J16">
        <v>0</v>
      </c>
      <c r="K16" t="s">
        <v>24</v>
      </c>
      <c r="L16">
        <v>209.893</v>
      </c>
      <c r="M16" s="23">
        <v>914</v>
      </c>
      <c r="N16" s="15" t="s">
        <v>46</v>
      </c>
      <c r="O16" s="16">
        <f>O15</f>
        <v>1907376</v>
      </c>
      <c r="P16">
        <v>0</v>
      </c>
      <c r="Q16">
        <v>1</v>
      </c>
      <c r="R16" s="20">
        <v>1</v>
      </c>
      <c r="S16" s="20">
        <v>525</v>
      </c>
      <c r="T16" t="s">
        <v>47</v>
      </c>
      <c r="U16" t="s">
        <v>48</v>
      </c>
      <c r="V16" s="1">
        <v>46107.387499999997</v>
      </c>
      <c r="Y16" t="s">
        <v>195</v>
      </c>
      <c r="Z16">
        <v>25</v>
      </c>
      <c r="AA16">
        <v>526</v>
      </c>
      <c r="AB16" s="15">
        <v>423.5</v>
      </c>
      <c r="AC16" s="15">
        <v>428.8</v>
      </c>
      <c r="AD16">
        <v>4</v>
      </c>
      <c r="AE16">
        <v>15</v>
      </c>
      <c r="AF16" s="20">
        <v>2794</v>
      </c>
      <c r="AG16" s="20">
        <v>330</v>
      </c>
      <c r="AN16" t="s">
        <v>190</v>
      </c>
      <c r="AO16">
        <v>50</v>
      </c>
      <c r="AP16">
        <v>1642</v>
      </c>
      <c r="AQ16">
        <v>783.3</v>
      </c>
      <c r="AR16">
        <v>785.2</v>
      </c>
      <c r="AS16">
        <v>8</v>
      </c>
      <c r="AT16">
        <v>5</v>
      </c>
      <c r="AU16">
        <v>1688</v>
      </c>
      <c r="AV16">
        <v>386.4</v>
      </c>
    </row>
    <row r="17" spans="1:48" x14ac:dyDescent="0.3">
      <c r="A17" t="s">
        <v>28</v>
      </c>
      <c r="B17" t="s">
        <v>45</v>
      </c>
      <c r="C17">
        <v>0</v>
      </c>
      <c r="D17">
        <v>0</v>
      </c>
      <c r="E17">
        <v>1</v>
      </c>
      <c r="F17">
        <v>25</v>
      </c>
      <c r="G17">
        <v>27</v>
      </c>
      <c r="H17">
        <v>3</v>
      </c>
      <c r="I17">
        <v>200</v>
      </c>
      <c r="J17">
        <v>0</v>
      </c>
      <c r="K17" t="s">
        <v>24</v>
      </c>
      <c r="L17">
        <v>273.23700000000002</v>
      </c>
      <c r="M17" s="23">
        <v>842</v>
      </c>
      <c r="N17" s="15" t="s">
        <v>46</v>
      </c>
      <c r="O17" s="16">
        <f>O16</f>
        <v>1907376</v>
      </c>
      <c r="P17">
        <v>0</v>
      </c>
      <c r="Q17">
        <v>1</v>
      </c>
      <c r="R17" s="20">
        <v>1</v>
      </c>
      <c r="S17" s="20">
        <v>596</v>
      </c>
      <c r="T17" t="s">
        <v>47</v>
      </c>
      <c r="U17" t="s">
        <v>49</v>
      </c>
      <c r="V17" s="1">
        <v>46107.444444444445</v>
      </c>
      <c r="Y17" t="s">
        <v>196</v>
      </c>
      <c r="Z17">
        <v>25</v>
      </c>
      <c r="AA17">
        <v>647</v>
      </c>
      <c r="AB17" s="15">
        <v>383.9</v>
      </c>
      <c r="AC17" s="15">
        <v>393</v>
      </c>
      <c r="AD17">
        <v>4</v>
      </c>
      <c r="AE17">
        <v>21</v>
      </c>
      <c r="AF17" s="20">
        <v>2643</v>
      </c>
      <c r="AG17" s="20">
        <v>623.29999999999995</v>
      </c>
      <c r="AN17" t="s">
        <v>191</v>
      </c>
      <c r="AO17">
        <v>25</v>
      </c>
      <c r="AP17">
        <v>542</v>
      </c>
      <c r="AQ17">
        <v>423</v>
      </c>
      <c r="AR17">
        <v>424.3</v>
      </c>
      <c r="AS17">
        <v>4</v>
      </c>
      <c r="AT17">
        <v>21</v>
      </c>
      <c r="AU17">
        <v>3191</v>
      </c>
      <c r="AV17">
        <v>304.10000000000002</v>
      </c>
    </row>
    <row r="18" spans="1:48" x14ac:dyDescent="0.3">
      <c r="A18" t="s">
        <v>22</v>
      </c>
      <c r="B18" t="s">
        <v>23</v>
      </c>
      <c r="C18">
        <v>0</v>
      </c>
      <c r="D18">
        <v>0</v>
      </c>
      <c r="E18">
        <v>10</v>
      </c>
      <c r="F18">
        <v>25</v>
      </c>
      <c r="G18">
        <v>27</v>
      </c>
      <c r="H18">
        <v>3</v>
      </c>
      <c r="I18">
        <v>200</v>
      </c>
      <c r="J18">
        <v>0</v>
      </c>
      <c r="K18" t="s">
        <v>24</v>
      </c>
      <c r="L18">
        <v>0.27550000000000002</v>
      </c>
      <c r="M18" s="23">
        <v>188.95740000000001</v>
      </c>
      <c r="N18" s="15">
        <v>191.81360000000001</v>
      </c>
      <c r="O18" s="15">
        <v>191.81360000000001</v>
      </c>
      <c r="P18">
        <v>0</v>
      </c>
      <c r="Q18">
        <v>1</v>
      </c>
      <c r="R18" s="20">
        <v>1</v>
      </c>
      <c r="S18" s="20">
        <v>975</v>
      </c>
      <c r="T18" t="s">
        <v>25</v>
      </c>
      <c r="U18" t="s">
        <v>50</v>
      </c>
      <c r="V18" s="1">
        <v>46107.493611111109</v>
      </c>
      <c r="AN18" t="s">
        <v>191</v>
      </c>
      <c r="AO18">
        <v>50</v>
      </c>
      <c r="AP18">
        <v>1995</v>
      </c>
      <c r="AQ18">
        <v>703.2</v>
      </c>
      <c r="AR18">
        <v>711.1</v>
      </c>
      <c r="AS18">
        <v>7</v>
      </c>
      <c r="AT18">
        <v>79</v>
      </c>
      <c r="AU18">
        <v>19816</v>
      </c>
      <c r="AV18">
        <v>7362.1</v>
      </c>
    </row>
    <row r="19" spans="1:48" x14ac:dyDescent="0.3">
      <c r="A19" t="s">
        <v>22</v>
      </c>
      <c r="B19" t="s">
        <v>23</v>
      </c>
      <c r="C19">
        <v>0</v>
      </c>
      <c r="D19">
        <v>0</v>
      </c>
      <c r="E19">
        <v>10</v>
      </c>
      <c r="F19">
        <v>25</v>
      </c>
      <c r="G19">
        <v>27</v>
      </c>
      <c r="H19">
        <v>3</v>
      </c>
      <c r="I19">
        <v>200</v>
      </c>
      <c r="J19">
        <v>0</v>
      </c>
      <c r="K19" t="s">
        <v>24</v>
      </c>
      <c r="L19">
        <v>0.2873</v>
      </c>
      <c r="M19" s="23">
        <v>174.7843</v>
      </c>
      <c r="N19" s="15">
        <v>191.81360000000001</v>
      </c>
      <c r="O19" s="15">
        <v>191.81360000000001</v>
      </c>
      <c r="P19">
        <v>0</v>
      </c>
      <c r="Q19">
        <v>1</v>
      </c>
      <c r="R19" s="20">
        <v>1</v>
      </c>
      <c r="S19" s="20">
        <v>921</v>
      </c>
      <c r="T19" t="s">
        <v>25</v>
      </c>
      <c r="U19" t="s">
        <v>30</v>
      </c>
      <c r="V19" s="1">
        <v>46107.502175925925</v>
      </c>
      <c r="Y19" t="s">
        <v>197</v>
      </c>
      <c r="Z19">
        <v>25</v>
      </c>
      <c r="AA19">
        <v>332</v>
      </c>
      <c r="AB19" s="15">
        <v>191.3</v>
      </c>
      <c r="AC19" s="15">
        <v>191.3</v>
      </c>
      <c r="AD19">
        <v>3</v>
      </c>
      <c r="AE19">
        <v>1</v>
      </c>
      <c r="AF19" s="20">
        <v>498</v>
      </c>
      <c r="AG19" s="20">
        <v>18.600000000000001</v>
      </c>
      <c r="AN19" t="s">
        <v>192</v>
      </c>
      <c r="AO19">
        <v>25</v>
      </c>
      <c r="AP19">
        <v>586</v>
      </c>
      <c r="AQ19">
        <v>396.2</v>
      </c>
      <c r="AR19">
        <v>397.2</v>
      </c>
      <c r="AS19">
        <v>4</v>
      </c>
      <c r="AT19">
        <v>3</v>
      </c>
      <c r="AU19">
        <v>1041</v>
      </c>
      <c r="AV19">
        <v>307.39999999999998</v>
      </c>
    </row>
    <row r="20" spans="1:48" x14ac:dyDescent="0.3">
      <c r="A20" t="s">
        <v>22</v>
      </c>
      <c r="B20" t="s">
        <v>23</v>
      </c>
      <c r="C20">
        <v>0</v>
      </c>
      <c r="D20">
        <v>0</v>
      </c>
      <c r="E20">
        <v>10</v>
      </c>
      <c r="F20">
        <v>25</v>
      </c>
      <c r="G20">
        <v>27</v>
      </c>
      <c r="H20">
        <v>3</v>
      </c>
      <c r="I20">
        <v>200</v>
      </c>
      <c r="J20">
        <v>0</v>
      </c>
      <c r="K20" t="s">
        <v>24</v>
      </c>
      <c r="L20">
        <v>0.28210000000000002</v>
      </c>
      <c r="M20" s="23">
        <v>208.6635</v>
      </c>
      <c r="N20" s="15">
        <v>191.81360000000001</v>
      </c>
      <c r="O20" s="15">
        <v>191.81360000000001</v>
      </c>
      <c r="P20">
        <v>0</v>
      </c>
      <c r="Q20">
        <v>1</v>
      </c>
      <c r="R20" s="20">
        <v>1</v>
      </c>
      <c r="S20" s="20">
        <v>921</v>
      </c>
      <c r="T20" t="s">
        <v>25</v>
      </c>
      <c r="U20" t="s">
        <v>30</v>
      </c>
      <c r="V20" s="1">
        <v>46107.504965277774</v>
      </c>
      <c r="Y20" t="s">
        <v>198</v>
      </c>
      <c r="Z20">
        <v>25</v>
      </c>
      <c r="AA20">
        <v>473</v>
      </c>
      <c r="AB20" s="15">
        <v>190.3</v>
      </c>
      <c r="AC20" s="15">
        <v>190.3</v>
      </c>
      <c r="AD20">
        <v>3</v>
      </c>
      <c r="AE20">
        <v>1</v>
      </c>
      <c r="AF20" s="20">
        <v>534</v>
      </c>
      <c r="AG20" s="20">
        <v>79.7</v>
      </c>
      <c r="AN20" t="s">
        <v>193</v>
      </c>
      <c r="AO20">
        <v>25</v>
      </c>
      <c r="AP20">
        <v>411</v>
      </c>
      <c r="AQ20">
        <v>441.3</v>
      </c>
      <c r="AR20">
        <v>441.3</v>
      </c>
      <c r="AS20">
        <v>5</v>
      </c>
      <c r="AT20">
        <v>1</v>
      </c>
      <c r="AU20">
        <v>207</v>
      </c>
      <c r="AV20">
        <v>14.4</v>
      </c>
    </row>
    <row r="21" spans="1:48" x14ac:dyDescent="0.3">
      <c r="A21" t="s">
        <v>22</v>
      </c>
      <c r="B21" t="s">
        <v>23</v>
      </c>
      <c r="C21">
        <v>0</v>
      </c>
      <c r="D21">
        <v>0</v>
      </c>
      <c r="E21">
        <v>10</v>
      </c>
      <c r="F21">
        <v>25</v>
      </c>
      <c r="G21">
        <v>27</v>
      </c>
      <c r="H21">
        <v>3</v>
      </c>
      <c r="I21">
        <v>200</v>
      </c>
      <c r="J21">
        <v>0</v>
      </c>
      <c r="K21" t="s">
        <v>24</v>
      </c>
      <c r="L21">
        <v>0.28199999999999997</v>
      </c>
      <c r="M21" s="23">
        <v>189.42490000000001</v>
      </c>
      <c r="N21" s="15">
        <v>191.81360000000001</v>
      </c>
      <c r="O21" s="15">
        <v>191.81360000000001</v>
      </c>
      <c r="P21">
        <v>0</v>
      </c>
      <c r="Q21">
        <v>1</v>
      </c>
      <c r="R21" s="20">
        <v>1</v>
      </c>
      <c r="S21" s="20">
        <v>921</v>
      </c>
      <c r="T21" t="s">
        <v>25</v>
      </c>
      <c r="U21" t="s">
        <v>30</v>
      </c>
      <c r="V21" s="1">
        <v>46107.507604166669</v>
      </c>
      <c r="Y21" t="s">
        <v>199</v>
      </c>
      <c r="Z21">
        <v>25</v>
      </c>
      <c r="AA21">
        <v>569</v>
      </c>
      <c r="AB21" s="15">
        <v>190.3</v>
      </c>
      <c r="AC21" s="15">
        <v>190.3</v>
      </c>
      <c r="AD21">
        <v>3</v>
      </c>
      <c r="AE21">
        <v>1</v>
      </c>
      <c r="AF21" s="20">
        <v>447</v>
      </c>
      <c r="AG21" s="20">
        <v>134.69999999999999</v>
      </c>
      <c r="AN21" t="s">
        <v>194</v>
      </c>
      <c r="AO21">
        <v>25</v>
      </c>
      <c r="AP21">
        <v>530</v>
      </c>
      <c r="AQ21">
        <v>425.4</v>
      </c>
      <c r="AR21">
        <v>429.5</v>
      </c>
      <c r="AS21">
        <v>4</v>
      </c>
      <c r="AT21">
        <v>5</v>
      </c>
      <c r="AU21">
        <v>655</v>
      </c>
      <c r="AV21">
        <v>64.3</v>
      </c>
    </row>
    <row r="22" spans="1:48" s="2" customFormat="1" x14ac:dyDescent="0.3">
      <c r="A22" s="2" t="s">
        <v>22</v>
      </c>
      <c r="B22" s="2" t="s">
        <v>23</v>
      </c>
      <c r="C22" s="2">
        <v>0</v>
      </c>
      <c r="D22" s="2">
        <v>0</v>
      </c>
      <c r="E22" s="2">
        <v>10</v>
      </c>
      <c r="F22" s="2">
        <v>25</v>
      </c>
      <c r="G22" s="2">
        <v>27</v>
      </c>
      <c r="H22" s="2">
        <v>3</v>
      </c>
      <c r="I22" s="2">
        <v>200</v>
      </c>
      <c r="J22" s="2">
        <v>0</v>
      </c>
      <c r="K22" s="2" t="s">
        <v>24</v>
      </c>
      <c r="L22" s="2">
        <v>0.2787</v>
      </c>
      <c r="M22" s="23">
        <v>110.80110000000001</v>
      </c>
      <c r="N22" s="15">
        <v>191.81360000000001</v>
      </c>
      <c r="O22" s="15">
        <v>191.81360000000001</v>
      </c>
      <c r="P22" s="2">
        <v>0</v>
      </c>
      <c r="Q22" s="2">
        <v>1</v>
      </c>
      <c r="R22" s="20">
        <v>1</v>
      </c>
      <c r="S22" s="20">
        <v>975</v>
      </c>
      <c r="T22" s="2" t="s">
        <v>25</v>
      </c>
      <c r="U22" s="2" t="s">
        <v>50</v>
      </c>
      <c r="V22" s="3">
        <v>46107.511481481481</v>
      </c>
      <c r="Y22" s="2" t="s">
        <v>200</v>
      </c>
      <c r="Z22" s="2">
        <v>25</v>
      </c>
      <c r="AA22" s="2">
        <v>604</v>
      </c>
      <c r="AB22" s="15">
        <v>186.9</v>
      </c>
      <c r="AC22" s="15">
        <v>186.9</v>
      </c>
      <c r="AD22" s="2">
        <v>3</v>
      </c>
      <c r="AE22" s="2">
        <v>1</v>
      </c>
      <c r="AF22" s="20">
        <v>485</v>
      </c>
      <c r="AG22" s="20">
        <v>223.9</v>
      </c>
      <c r="AI22" s="18"/>
      <c r="AJ22" s="18"/>
      <c r="AN22" s="2" t="s">
        <v>194</v>
      </c>
      <c r="AO22" s="2">
        <v>50</v>
      </c>
      <c r="AP22" s="2">
        <v>2026</v>
      </c>
      <c r="AQ22" s="2">
        <v>692.4</v>
      </c>
      <c r="AR22" s="2">
        <v>697</v>
      </c>
      <c r="AS22" s="2">
        <v>7</v>
      </c>
      <c r="AT22" s="2">
        <v>53</v>
      </c>
      <c r="AU22" s="2">
        <v>15341</v>
      </c>
      <c r="AV22" s="2">
        <v>4906.1000000000004</v>
      </c>
    </row>
    <row r="23" spans="1:48" x14ac:dyDescent="0.3">
      <c r="A23" t="s">
        <v>27</v>
      </c>
      <c r="B23" t="s">
        <v>23</v>
      </c>
      <c r="C23">
        <v>0</v>
      </c>
      <c r="D23">
        <v>0</v>
      </c>
      <c r="E23">
        <v>0</v>
      </c>
      <c r="F23">
        <v>25</v>
      </c>
      <c r="G23">
        <v>27</v>
      </c>
      <c r="H23">
        <v>3</v>
      </c>
      <c r="I23">
        <v>200</v>
      </c>
      <c r="J23">
        <v>0</v>
      </c>
      <c r="K23" t="s">
        <v>24</v>
      </c>
      <c r="L23">
        <v>0.2787</v>
      </c>
      <c r="M23" s="23">
        <v>157.9332</v>
      </c>
      <c r="N23" s="15">
        <v>191.81360000000001</v>
      </c>
      <c r="O23" s="15">
        <v>191.81360000000001</v>
      </c>
      <c r="P23">
        <v>0</v>
      </c>
      <c r="Q23">
        <v>1</v>
      </c>
      <c r="R23" s="20">
        <v>1</v>
      </c>
      <c r="S23" s="20">
        <v>795</v>
      </c>
      <c r="T23" t="s">
        <v>25</v>
      </c>
      <c r="U23" t="s">
        <v>30</v>
      </c>
      <c r="V23" s="1">
        <v>46107.513310185182</v>
      </c>
      <c r="Y23" t="s">
        <v>201</v>
      </c>
      <c r="Z23">
        <v>25</v>
      </c>
      <c r="AA23">
        <v>357</v>
      </c>
      <c r="AB23" s="15">
        <v>191.3</v>
      </c>
      <c r="AC23" s="15">
        <v>191.3</v>
      </c>
      <c r="AD23">
        <v>3</v>
      </c>
      <c r="AE23">
        <v>1</v>
      </c>
      <c r="AF23" s="20">
        <v>531</v>
      </c>
      <c r="AG23" s="20">
        <v>25.6</v>
      </c>
      <c r="AN23" t="s">
        <v>195</v>
      </c>
      <c r="AO23">
        <v>25</v>
      </c>
      <c r="AP23">
        <v>526</v>
      </c>
      <c r="AQ23">
        <v>423.5</v>
      </c>
      <c r="AR23">
        <v>428.8</v>
      </c>
      <c r="AS23">
        <v>4</v>
      </c>
      <c r="AT23">
        <v>15</v>
      </c>
      <c r="AU23">
        <v>2794</v>
      </c>
      <c r="AV23">
        <v>330</v>
      </c>
    </row>
    <row r="24" spans="1:48" x14ac:dyDescent="0.3">
      <c r="A24" t="s">
        <v>28</v>
      </c>
      <c r="B24" t="s">
        <v>23</v>
      </c>
      <c r="C24">
        <v>0</v>
      </c>
      <c r="D24">
        <v>0</v>
      </c>
      <c r="E24">
        <v>1</v>
      </c>
      <c r="F24">
        <v>25</v>
      </c>
      <c r="G24">
        <v>27</v>
      </c>
      <c r="H24">
        <v>3</v>
      </c>
      <c r="I24">
        <v>200</v>
      </c>
      <c r="J24">
        <v>0</v>
      </c>
      <c r="K24" t="s">
        <v>24</v>
      </c>
      <c r="L24">
        <v>0.2787</v>
      </c>
      <c r="M24" s="23">
        <v>146.15690000000001</v>
      </c>
      <c r="N24" s="15">
        <v>191.81360000000001</v>
      </c>
      <c r="O24" s="15">
        <v>191.81360000000001</v>
      </c>
      <c r="P24">
        <v>0</v>
      </c>
      <c r="Q24">
        <v>1</v>
      </c>
      <c r="R24" s="20">
        <v>1</v>
      </c>
      <c r="S24" s="20">
        <v>1161</v>
      </c>
      <c r="T24" t="s">
        <v>25</v>
      </c>
      <c r="U24" t="s">
        <v>25</v>
      </c>
      <c r="V24" s="1">
        <v>46107.514999999999</v>
      </c>
      <c r="Y24" t="s">
        <v>202</v>
      </c>
      <c r="Z24">
        <v>25</v>
      </c>
      <c r="AA24">
        <v>336</v>
      </c>
      <c r="AB24" s="15">
        <v>191.3</v>
      </c>
      <c r="AC24" s="15">
        <v>191.3</v>
      </c>
      <c r="AD24">
        <v>3</v>
      </c>
      <c r="AE24">
        <v>1</v>
      </c>
      <c r="AF24" s="20">
        <v>447</v>
      </c>
      <c r="AG24" s="20">
        <v>20.7</v>
      </c>
      <c r="AN24" t="s">
        <v>196</v>
      </c>
      <c r="AO24">
        <v>25</v>
      </c>
      <c r="AP24">
        <v>647</v>
      </c>
      <c r="AQ24">
        <v>383.9</v>
      </c>
      <c r="AR24">
        <v>393</v>
      </c>
      <c r="AS24">
        <v>4</v>
      </c>
      <c r="AT24">
        <v>21</v>
      </c>
      <c r="AU24">
        <v>2643</v>
      </c>
      <c r="AV24">
        <v>623.29999999999995</v>
      </c>
    </row>
    <row r="25" spans="1:48" x14ac:dyDescent="0.3">
      <c r="A25" t="s">
        <v>29</v>
      </c>
      <c r="B25" t="s">
        <v>23</v>
      </c>
      <c r="C25">
        <v>0</v>
      </c>
      <c r="D25">
        <v>0</v>
      </c>
      <c r="E25">
        <v>2</v>
      </c>
      <c r="F25">
        <v>25</v>
      </c>
      <c r="G25">
        <v>27</v>
      </c>
      <c r="H25">
        <v>3</v>
      </c>
      <c r="I25">
        <v>200</v>
      </c>
      <c r="J25">
        <v>0</v>
      </c>
      <c r="K25" t="s">
        <v>24</v>
      </c>
      <c r="L25">
        <v>0.2787</v>
      </c>
      <c r="M25" s="23">
        <v>94.041700000000006</v>
      </c>
      <c r="N25" s="15">
        <v>191.81360000000001</v>
      </c>
      <c r="O25" s="15">
        <v>191.81360000000001</v>
      </c>
      <c r="P25">
        <v>0</v>
      </c>
      <c r="Q25">
        <v>1</v>
      </c>
      <c r="R25" s="20">
        <v>1</v>
      </c>
      <c r="S25" s="20">
        <v>999</v>
      </c>
      <c r="T25" t="s">
        <v>25</v>
      </c>
      <c r="U25" t="s">
        <v>26</v>
      </c>
      <c r="V25" s="1">
        <v>46107.516087962962</v>
      </c>
      <c r="Y25" t="s">
        <v>203</v>
      </c>
      <c r="Z25">
        <v>25</v>
      </c>
      <c r="AA25">
        <v>377</v>
      </c>
      <c r="AB25" s="15">
        <v>191.3</v>
      </c>
      <c r="AC25" s="15">
        <v>191.3</v>
      </c>
      <c r="AD25">
        <v>3</v>
      </c>
      <c r="AE25">
        <v>1</v>
      </c>
      <c r="AF25" s="20">
        <v>514</v>
      </c>
      <c r="AG25" s="20">
        <v>31.7</v>
      </c>
    </row>
    <row r="26" spans="1:48" x14ac:dyDescent="0.3">
      <c r="A26" t="s">
        <v>31</v>
      </c>
      <c r="B26" t="s">
        <v>23</v>
      </c>
      <c r="C26">
        <v>0</v>
      </c>
      <c r="D26">
        <v>0</v>
      </c>
      <c r="E26" s="7">
        <v>3</v>
      </c>
      <c r="F26">
        <v>25</v>
      </c>
      <c r="G26">
        <v>27</v>
      </c>
      <c r="H26">
        <v>3</v>
      </c>
      <c r="I26">
        <v>200</v>
      </c>
      <c r="J26">
        <v>0</v>
      </c>
      <c r="K26" t="s">
        <v>24</v>
      </c>
      <c r="L26">
        <v>0.2787</v>
      </c>
      <c r="M26" s="23">
        <v>1224.6114</v>
      </c>
      <c r="N26" s="15">
        <v>191.81360000000001</v>
      </c>
      <c r="O26" s="15">
        <v>264.7235</v>
      </c>
      <c r="P26" s="6">
        <v>38.010800000000003</v>
      </c>
      <c r="Q26">
        <v>0</v>
      </c>
      <c r="R26" s="20">
        <v>17955</v>
      </c>
      <c r="S26" s="20">
        <v>1551</v>
      </c>
      <c r="T26" t="s">
        <v>25</v>
      </c>
      <c r="U26" t="s">
        <v>51</v>
      </c>
      <c r="V26" s="1">
        <v>46107.530266203707</v>
      </c>
      <c r="Y26" t="s">
        <v>204</v>
      </c>
      <c r="Z26">
        <v>25</v>
      </c>
      <c r="AA26">
        <v>431</v>
      </c>
      <c r="AB26" s="15">
        <v>191.3</v>
      </c>
      <c r="AC26" s="15">
        <v>191.3</v>
      </c>
      <c r="AD26">
        <v>3</v>
      </c>
      <c r="AE26">
        <v>1</v>
      </c>
      <c r="AF26" s="20">
        <v>513</v>
      </c>
      <c r="AG26" s="20">
        <v>43.1</v>
      </c>
      <c r="AN26" t="s">
        <v>197</v>
      </c>
      <c r="AO26">
        <v>25</v>
      </c>
      <c r="AP26">
        <v>332</v>
      </c>
      <c r="AQ26">
        <v>191.3</v>
      </c>
      <c r="AR26">
        <v>191.3</v>
      </c>
      <c r="AS26">
        <v>3</v>
      </c>
      <c r="AT26">
        <v>1</v>
      </c>
      <c r="AU26">
        <v>498</v>
      </c>
      <c r="AV26">
        <v>18.600000000000001</v>
      </c>
    </row>
    <row r="27" spans="1:48" x14ac:dyDescent="0.3">
      <c r="A27" t="s">
        <v>52</v>
      </c>
      <c r="B27" t="s">
        <v>23</v>
      </c>
      <c r="C27">
        <v>0</v>
      </c>
      <c r="D27">
        <v>0</v>
      </c>
      <c r="E27">
        <v>22</v>
      </c>
      <c r="F27">
        <v>25</v>
      </c>
      <c r="G27">
        <v>27</v>
      </c>
      <c r="H27">
        <v>3</v>
      </c>
      <c r="I27">
        <v>200</v>
      </c>
      <c r="J27">
        <v>0</v>
      </c>
      <c r="K27" t="s">
        <v>24</v>
      </c>
      <c r="L27">
        <v>0.2787</v>
      </c>
      <c r="M27" s="23">
        <v>279.2704</v>
      </c>
      <c r="N27" s="15">
        <v>191.81360000000001</v>
      </c>
      <c r="O27" s="15">
        <v>191.81360000000001</v>
      </c>
      <c r="P27">
        <v>0</v>
      </c>
      <c r="Q27">
        <v>1</v>
      </c>
      <c r="R27" s="20">
        <v>1</v>
      </c>
      <c r="S27" s="20">
        <v>354</v>
      </c>
      <c r="T27" t="s">
        <v>25</v>
      </c>
      <c r="U27" t="s">
        <v>53</v>
      </c>
      <c r="V27" s="1">
        <v>46107.533495370371</v>
      </c>
      <c r="Y27" t="s">
        <v>205</v>
      </c>
      <c r="Z27">
        <v>25</v>
      </c>
      <c r="AA27">
        <v>482</v>
      </c>
      <c r="AB27" s="15">
        <v>189.4</v>
      </c>
      <c r="AC27" s="15">
        <v>191.3</v>
      </c>
      <c r="AD27">
        <v>3</v>
      </c>
      <c r="AE27">
        <v>3</v>
      </c>
      <c r="AF27" s="20">
        <v>1747</v>
      </c>
      <c r="AG27" s="20">
        <v>585.4</v>
      </c>
      <c r="AN27" t="s">
        <v>197</v>
      </c>
      <c r="AO27">
        <v>50</v>
      </c>
      <c r="AP27">
        <v>1217</v>
      </c>
      <c r="AQ27">
        <v>362.4</v>
      </c>
      <c r="AR27">
        <v>362.4</v>
      </c>
      <c r="AS27">
        <v>5</v>
      </c>
      <c r="AT27">
        <v>1</v>
      </c>
      <c r="AU27">
        <v>870</v>
      </c>
      <c r="AV27">
        <v>67.099999999999994</v>
      </c>
    </row>
    <row r="28" spans="1:48" s="4" customFormat="1" x14ac:dyDescent="0.3">
      <c r="A28" s="4" t="s">
        <v>22</v>
      </c>
      <c r="B28" s="4" t="s">
        <v>45</v>
      </c>
      <c r="C28" s="4">
        <v>0</v>
      </c>
      <c r="D28" s="4">
        <v>0</v>
      </c>
      <c r="E28" s="4">
        <v>10</v>
      </c>
      <c r="F28" s="4">
        <v>25</v>
      </c>
      <c r="G28" s="4">
        <v>27</v>
      </c>
      <c r="H28" s="4">
        <v>3</v>
      </c>
      <c r="I28" s="4">
        <v>200</v>
      </c>
      <c r="J28" s="4">
        <v>0</v>
      </c>
      <c r="K28" s="4" t="s">
        <v>24</v>
      </c>
      <c r="L28" s="4">
        <v>21.396000000000001</v>
      </c>
      <c r="M28" s="23">
        <v>165.59729999999999</v>
      </c>
      <c r="N28" s="15">
        <v>190.73759999999999</v>
      </c>
      <c r="O28" s="17">
        <f>O29</f>
        <v>190.73</v>
      </c>
      <c r="P28" s="4">
        <v>0</v>
      </c>
      <c r="Q28" s="4">
        <v>1</v>
      </c>
      <c r="R28" s="20">
        <v>1</v>
      </c>
      <c r="S28" s="20">
        <v>1506</v>
      </c>
      <c r="T28" s="4" t="s">
        <v>47</v>
      </c>
      <c r="U28" s="4" t="s">
        <v>49</v>
      </c>
      <c r="V28" s="5">
        <v>46107.53565972222</v>
      </c>
      <c r="AB28" s="15"/>
      <c r="AC28" s="15"/>
      <c r="AF28" s="20"/>
      <c r="AG28" s="20"/>
      <c r="AI28" s="18"/>
      <c r="AJ28" s="18"/>
      <c r="AN28" s="4" t="s">
        <v>197</v>
      </c>
      <c r="AO28" s="4">
        <v>100</v>
      </c>
      <c r="AP28" s="4">
        <v>4515</v>
      </c>
      <c r="AQ28" s="4">
        <v>827.3</v>
      </c>
      <c r="AR28" s="4">
        <v>827.3</v>
      </c>
      <c r="AS28" s="4">
        <v>10</v>
      </c>
      <c r="AT28" s="4">
        <v>1</v>
      </c>
      <c r="AU28" s="4">
        <v>3768</v>
      </c>
      <c r="AV28" s="4">
        <v>434.5</v>
      </c>
    </row>
    <row r="29" spans="1:48" x14ac:dyDescent="0.3">
      <c r="A29" t="s">
        <v>27</v>
      </c>
      <c r="B29" t="s">
        <v>45</v>
      </c>
      <c r="C29">
        <v>0</v>
      </c>
      <c r="D29">
        <v>0</v>
      </c>
      <c r="E29">
        <v>0</v>
      </c>
      <c r="F29">
        <v>25</v>
      </c>
      <c r="G29">
        <v>27</v>
      </c>
      <c r="H29">
        <v>3</v>
      </c>
      <c r="I29">
        <v>200</v>
      </c>
      <c r="J29">
        <v>0</v>
      </c>
      <c r="K29" t="s">
        <v>24</v>
      </c>
      <c r="L29">
        <v>21.396000000000001</v>
      </c>
      <c r="M29" s="23">
        <v>352.82470000000001</v>
      </c>
      <c r="N29" s="15">
        <v>190.73759999999999</v>
      </c>
      <c r="O29" s="17">
        <v>190.73</v>
      </c>
      <c r="P29">
        <v>0</v>
      </c>
      <c r="Q29">
        <v>1</v>
      </c>
      <c r="R29" s="20">
        <v>1</v>
      </c>
      <c r="S29" s="20">
        <v>1389</v>
      </c>
      <c r="T29" t="s">
        <v>47</v>
      </c>
      <c r="U29" t="s">
        <v>49</v>
      </c>
      <c r="V29" s="1">
        <v>46107.53974537037</v>
      </c>
      <c r="Y29" t="s">
        <v>206</v>
      </c>
      <c r="Z29">
        <v>25</v>
      </c>
      <c r="AA29">
        <v>277</v>
      </c>
      <c r="AB29" s="15">
        <v>405.1</v>
      </c>
      <c r="AC29" s="15">
        <v>461.1</v>
      </c>
      <c r="AD29">
        <v>4</v>
      </c>
      <c r="AE29">
        <v>99</v>
      </c>
      <c r="AF29" s="20">
        <v>6399</v>
      </c>
      <c r="AG29" s="20">
        <v>225.4</v>
      </c>
      <c r="AN29" t="s">
        <v>198</v>
      </c>
      <c r="AO29">
        <v>25</v>
      </c>
      <c r="AP29">
        <v>473</v>
      </c>
      <c r="AQ29">
        <v>190.3</v>
      </c>
      <c r="AR29">
        <v>190.3</v>
      </c>
      <c r="AS29">
        <v>3</v>
      </c>
      <c r="AT29">
        <v>1</v>
      </c>
      <c r="AU29">
        <v>534</v>
      </c>
      <c r="AV29">
        <v>79.7</v>
      </c>
    </row>
    <row r="30" spans="1:48" x14ac:dyDescent="0.3">
      <c r="A30" t="s">
        <v>28</v>
      </c>
      <c r="B30" t="s">
        <v>45</v>
      </c>
      <c r="C30">
        <v>0</v>
      </c>
      <c r="D30">
        <v>0</v>
      </c>
      <c r="E30">
        <v>1</v>
      </c>
      <c r="F30">
        <v>25</v>
      </c>
      <c r="G30">
        <v>27</v>
      </c>
      <c r="H30">
        <v>3</v>
      </c>
      <c r="I30">
        <v>200</v>
      </c>
      <c r="J30">
        <v>0</v>
      </c>
      <c r="K30" t="s">
        <v>24</v>
      </c>
      <c r="L30">
        <v>21.396000000000001</v>
      </c>
      <c r="M30" s="23">
        <v>103.18600000000001</v>
      </c>
      <c r="N30" s="15">
        <v>190.73759999999999</v>
      </c>
      <c r="O30" s="15">
        <v>202.1</v>
      </c>
      <c r="P30">
        <v>5.9611999999999998</v>
      </c>
      <c r="Q30">
        <v>0</v>
      </c>
      <c r="R30" s="20">
        <v>1</v>
      </c>
      <c r="S30" s="20">
        <v>1506</v>
      </c>
      <c r="T30" t="s">
        <v>47</v>
      </c>
      <c r="U30" t="s">
        <v>54</v>
      </c>
      <c r="V30" s="1">
        <v>46107.540937500002</v>
      </c>
      <c r="Y30" t="s">
        <v>207</v>
      </c>
      <c r="Z30">
        <v>25</v>
      </c>
      <c r="AA30">
        <v>408</v>
      </c>
      <c r="AB30" s="15">
        <v>346</v>
      </c>
      <c r="AC30" s="15">
        <v>346</v>
      </c>
      <c r="AD30">
        <v>3</v>
      </c>
      <c r="AE30">
        <v>1</v>
      </c>
      <c r="AF30" s="20">
        <v>255</v>
      </c>
      <c r="AG30" s="20">
        <v>18.100000000000001</v>
      </c>
      <c r="AN30" t="s">
        <v>198</v>
      </c>
      <c r="AO30">
        <v>50</v>
      </c>
      <c r="AP30">
        <v>1732</v>
      </c>
      <c r="AQ30">
        <v>361.4</v>
      </c>
      <c r="AR30">
        <v>361.4</v>
      </c>
      <c r="AS30">
        <v>5</v>
      </c>
      <c r="AT30">
        <v>1</v>
      </c>
      <c r="AU30">
        <v>1554</v>
      </c>
      <c r="AV30">
        <v>330.2</v>
      </c>
    </row>
    <row r="31" spans="1:48" x14ac:dyDescent="0.3">
      <c r="A31" t="s">
        <v>29</v>
      </c>
      <c r="B31" t="s">
        <v>45</v>
      </c>
      <c r="C31">
        <v>0</v>
      </c>
      <c r="D31">
        <v>0</v>
      </c>
      <c r="E31">
        <v>2</v>
      </c>
      <c r="F31">
        <v>25</v>
      </c>
      <c r="G31">
        <v>27</v>
      </c>
      <c r="H31">
        <v>3</v>
      </c>
      <c r="I31">
        <v>200</v>
      </c>
      <c r="J31">
        <v>0</v>
      </c>
      <c r="K31" t="s">
        <v>24</v>
      </c>
      <c r="L31">
        <v>21.396000000000001</v>
      </c>
      <c r="M31" s="23">
        <v>311.5942</v>
      </c>
      <c r="N31" s="15">
        <v>190.73759999999999</v>
      </c>
      <c r="O31" s="15">
        <v>190.73</v>
      </c>
      <c r="P31">
        <v>0</v>
      </c>
      <c r="Q31">
        <v>1</v>
      </c>
      <c r="R31" s="20">
        <v>1</v>
      </c>
      <c r="S31" s="20">
        <v>1506</v>
      </c>
      <c r="T31" t="s">
        <v>47</v>
      </c>
      <c r="U31" t="s">
        <v>55</v>
      </c>
      <c r="V31" s="1">
        <v>46107.544548611113</v>
      </c>
      <c r="Y31" t="s">
        <v>208</v>
      </c>
      <c r="Z31">
        <v>25</v>
      </c>
      <c r="AA31">
        <v>518</v>
      </c>
      <c r="AB31" s="15">
        <v>332.1</v>
      </c>
      <c r="AC31" s="15">
        <v>332.8</v>
      </c>
      <c r="AD31">
        <v>3</v>
      </c>
      <c r="AE31">
        <v>5</v>
      </c>
      <c r="AF31" s="20">
        <v>953</v>
      </c>
      <c r="AG31" s="20">
        <v>103</v>
      </c>
      <c r="AN31" t="s">
        <v>198</v>
      </c>
      <c r="AO31">
        <v>100</v>
      </c>
      <c r="AP31">
        <v>6581</v>
      </c>
      <c r="AQ31">
        <v>827.3</v>
      </c>
      <c r="AR31">
        <v>827.3</v>
      </c>
      <c r="AS31">
        <v>10</v>
      </c>
      <c r="AT31">
        <v>1</v>
      </c>
      <c r="AU31">
        <v>4038</v>
      </c>
      <c r="AV31">
        <v>1990.8</v>
      </c>
    </row>
    <row r="32" spans="1:48" x14ac:dyDescent="0.3">
      <c r="A32" t="s">
        <v>31</v>
      </c>
      <c r="B32" t="s">
        <v>45</v>
      </c>
      <c r="C32">
        <v>0</v>
      </c>
      <c r="D32">
        <v>0</v>
      </c>
      <c r="E32" s="7">
        <v>3</v>
      </c>
      <c r="F32">
        <v>25</v>
      </c>
      <c r="G32">
        <v>27</v>
      </c>
      <c r="H32">
        <v>3</v>
      </c>
      <c r="I32">
        <v>200</v>
      </c>
      <c r="J32">
        <v>0</v>
      </c>
      <c r="K32" t="s">
        <v>24</v>
      </c>
      <c r="L32">
        <v>21.396000000000001</v>
      </c>
      <c r="M32" s="23">
        <v>409.25630000000001</v>
      </c>
      <c r="N32" s="15">
        <v>190.73759999999999</v>
      </c>
      <c r="O32" s="15">
        <v>233.95570000000001</v>
      </c>
      <c r="P32">
        <v>22.6584</v>
      </c>
      <c r="Q32">
        <v>0</v>
      </c>
      <c r="R32" s="20">
        <v>111</v>
      </c>
      <c r="S32" s="20">
        <v>3474</v>
      </c>
      <c r="T32" t="s">
        <v>47</v>
      </c>
      <c r="U32" t="s">
        <v>56</v>
      </c>
      <c r="V32" s="1">
        <v>46107.54928240741</v>
      </c>
      <c r="Y32" t="s">
        <v>209</v>
      </c>
      <c r="Z32">
        <v>25</v>
      </c>
      <c r="AA32">
        <v>564</v>
      </c>
      <c r="AB32" s="15">
        <v>305.89999999999998</v>
      </c>
      <c r="AC32" s="15">
        <v>306.60000000000002</v>
      </c>
      <c r="AD32">
        <v>3</v>
      </c>
      <c r="AE32">
        <v>6</v>
      </c>
      <c r="AF32" s="20">
        <v>1273</v>
      </c>
      <c r="AG32" s="20">
        <v>177.9</v>
      </c>
      <c r="AN32" t="s">
        <v>199</v>
      </c>
      <c r="AO32">
        <v>25</v>
      </c>
      <c r="AP32">
        <v>569</v>
      </c>
      <c r="AQ32">
        <v>190.3</v>
      </c>
      <c r="AR32">
        <v>190.3</v>
      </c>
      <c r="AS32">
        <v>3</v>
      </c>
      <c r="AT32">
        <v>1</v>
      </c>
      <c r="AU32">
        <v>447</v>
      </c>
      <c r="AV32">
        <v>134.69999999999999</v>
      </c>
    </row>
    <row r="33" spans="1:48" s="10" customFormat="1" x14ac:dyDescent="0.3">
      <c r="A33" s="10" t="s">
        <v>52</v>
      </c>
      <c r="B33" s="10" t="s">
        <v>45</v>
      </c>
      <c r="C33" s="10">
        <v>0</v>
      </c>
      <c r="D33" s="10">
        <v>0</v>
      </c>
      <c r="E33" s="10">
        <v>22</v>
      </c>
      <c r="F33" s="10">
        <v>25</v>
      </c>
      <c r="G33" s="10">
        <v>27</v>
      </c>
      <c r="H33" s="10">
        <v>3</v>
      </c>
      <c r="I33" s="10">
        <v>200</v>
      </c>
      <c r="J33" s="10">
        <v>0</v>
      </c>
      <c r="K33" s="10" t="s">
        <v>24</v>
      </c>
      <c r="L33" s="10">
        <v>21.396000000000001</v>
      </c>
      <c r="M33" s="23">
        <v>872.39520000000005</v>
      </c>
      <c r="N33" s="15">
        <v>190.73759999999999</v>
      </c>
      <c r="O33" s="15">
        <v>190.73</v>
      </c>
      <c r="P33" s="10">
        <v>0</v>
      </c>
      <c r="Q33" s="10">
        <v>1</v>
      </c>
      <c r="R33" s="20">
        <v>1</v>
      </c>
      <c r="S33" s="20">
        <v>657</v>
      </c>
      <c r="T33" s="10" t="s">
        <v>47</v>
      </c>
      <c r="U33" s="10" t="s">
        <v>57</v>
      </c>
      <c r="V33" s="11">
        <v>46107.559374999997</v>
      </c>
      <c r="Y33" s="10" t="s">
        <v>210</v>
      </c>
      <c r="Z33" s="10">
        <v>25</v>
      </c>
      <c r="AA33" s="10">
        <v>372</v>
      </c>
      <c r="AB33" s="15">
        <v>411</v>
      </c>
      <c r="AC33" s="15">
        <v>411.3</v>
      </c>
      <c r="AD33" s="10">
        <v>4</v>
      </c>
      <c r="AE33" s="10">
        <v>5</v>
      </c>
      <c r="AF33" s="20">
        <v>488</v>
      </c>
      <c r="AG33" s="20">
        <v>37.4</v>
      </c>
      <c r="AI33" s="19"/>
      <c r="AJ33" s="19"/>
      <c r="AN33" s="10" t="s">
        <v>199</v>
      </c>
      <c r="AO33" s="10">
        <v>50</v>
      </c>
      <c r="AP33" s="10">
        <v>2165</v>
      </c>
      <c r="AQ33" s="10">
        <v>361.4</v>
      </c>
      <c r="AR33" s="10">
        <v>361.4</v>
      </c>
      <c r="AS33" s="10">
        <v>4</v>
      </c>
      <c r="AT33" s="10">
        <v>1</v>
      </c>
      <c r="AU33" s="10">
        <v>1769</v>
      </c>
      <c r="AV33" s="10">
        <v>896</v>
      </c>
    </row>
    <row r="34" spans="1:48" x14ac:dyDescent="0.3">
      <c r="A34" t="s">
        <v>52</v>
      </c>
      <c r="B34" t="s">
        <v>58</v>
      </c>
      <c r="C34">
        <v>0</v>
      </c>
      <c r="D34">
        <v>0</v>
      </c>
      <c r="E34">
        <v>22</v>
      </c>
      <c r="F34">
        <v>25</v>
      </c>
      <c r="G34">
        <v>27</v>
      </c>
      <c r="H34">
        <v>3</v>
      </c>
      <c r="I34">
        <v>200</v>
      </c>
      <c r="J34">
        <v>0</v>
      </c>
      <c r="K34" t="s">
        <v>24</v>
      </c>
      <c r="L34">
        <v>1202.3</v>
      </c>
      <c r="M34" s="23" t="s">
        <v>59</v>
      </c>
      <c r="N34" s="15">
        <v>190.73759999999999</v>
      </c>
      <c r="O34" s="15">
        <v>190.73</v>
      </c>
      <c r="P34">
        <v>0</v>
      </c>
      <c r="Q34">
        <v>1</v>
      </c>
      <c r="R34" s="20">
        <v>7</v>
      </c>
      <c r="S34" s="20">
        <v>1734</v>
      </c>
      <c r="T34" t="s">
        <v>47</v>
      </c>
      <c r="U34" t="s">
        <v>57</v>
      </c>
      <c r="V34" s="1">
        <v>46107.559374999997</v>
      </c>
      <c r="Y34" t="s">
        <v>211</v>
      </c>
      <c r="Z34">
        <v>25</v>
      </c>
      <c r="AA34">
        <v>388</v>
      </c>
      <c r="AB34" s="15">
        <v>338.3</v>
      </c>
      <c r="AC34" s="15">
        <v>345.5</v>
      </c>
      <c r="AD34">
        <v>3</v>
      </c>
      <c r="AE34">
        <v>27</v>
      </c>
      <c r="AF34" s="20">
        <v>2064</v>
      </c>
      <c r="AG34" s="20">
        <v>248.4</v>
      </c>
      <c r="AN34" t="s">
        <v>200</v>
      </c>
      <c r="AO34">
        <v>25</v>
      </c>
      <c r="AP34">
        <v>604</v>
      </c>
      <c r="AQ34">
        <v>186.9</v>
      </c>
      <c r="AR34">
        <v>186.9</v>
      </c>
      <c r="AS34">
        <v>3</v>
      </c>
      <c r="AT34">
        <v>1</v>
      </c>
      <c r="AU34">
        <v>485</v>
      </c>
      <c r="AV34">
        <v>223.9</v>
      </c>
    </row>
    <row r="35" spans="1:48" x14ac:dyDescent="0.3">
      <c r="M35" s="23">
        <v>134</v>
      </c>
      <c r="Y35" t="s">
        <v>212</v>
      </c>
      <c r="Z35">
        <v>25</v>
      </c>
      <c r="AA35">
        <v>513</v>
      </c>
      <c r="AB35" s="15">
        <v>293.3</v>
      </c>
      <c r="AC35" s="15">
        <v>298.3</v>
      </c>
      <c r="AD35">
        <v>3</v>
      </c>
      <c r="AE35">
        <v>3</v>
      </c>
      <c r="AF35" s="20">
        <v>473</v>
      </c>
      <c r="AG35" s="20">
        <v>113.9</v>
      </c>
      <c r="AN35" t="s">
        <v>201</v>
      </c>
      <c r="AO35">
        <v>25</v>
      </c>
      <c r="AP35">
        <v>357</v>
      </c>
      <c r="AQ35">
        <v>191.3</v>
      </c>
      <c r="AR35">
        <v>191.3</v>
      </c>
      <c r="AS35">
        <v>3</v>
      </c>
      <c r="AT35">
        <v>1</v>
      </c>
      <c r="AU35">
        <v>531</v>
      </c>
      <c r="AV35">
        <v>25.6</v>
      </c>
    </row>
    <row r="36" spans="1:48" x14ac:dyDescent="0.3">
      <c r="A36" t="s">
        <v>27</v>
      </c>
      <c r="B36" t="s">
        <v>58</v>
      </c>
      <c r="C36">
        <v>0</v>
      </c>
      <c r="D36">
        <v>0</v>
      </c>
      <c r="E36">
        <v>0</v>
      </c>
      <c r="F36">
        <v>25</v>
      </c>
      <c r="G36">
        <v>27</v>
      </c>
      <c r="H36">
        <v>3</v>
      </c>
      <c r="I36">
        <v>200</v>
      </c>
      <c r="J36">
        <v>0</v>
      </c>
      <c r="K36" t="s">
        <v>24</v>
      </c>
      <c r="L36">
        <v>1202.3</v>
      </c>
      <c r="M36" s="23" t="s">
        <v>62</v>
      </c>
      <c r="N36" s="15">
        <v>190.73759999999999</v>
      </c>
      <c r="O36" s="15">
        <v>190.73759999999999</v>
      </c>
      <c r="P36">
        <v>0</v>
      </c>
      <c r="Q36">
        <v>1</v>
      </c>
      <c r="R36" s="20">
        <v>1</v>
      </c>
      <c r="S36" s="20">
        <v>1365</v>
      </c>
      <c r="T36" t="s">
        <v>57</v>
      </c>
      <c r="U36" t="s">
        <v>49</v>
      </c>
      <c r="V36" s="1">
        <v>46107.619629629633</v>
      </c>
      <c r="Y36" t="s">
        <v>213</v>
      </c>
      <c r="Z36">
        <v>25</v>
      </c>
      <c r="AA36">
        <v>617</v>
      </c>
      <c r="AB36" s="15">
        <v>280.3</v>
      </c>
      <c r="AC36" s="15">
        <v>294.5</v>
      </c>
      <c r="AD36">
        <v>3</v>
      </c>
      <c r="AE36">
        <v>11</v>
      </c>
      <c r="AF36" s="20">
        <v>1126</v>
      </c>
      <c r="AG36" s="20">
        <v>256</v>
      </c>
      <c r="AN36" t="s">
        <v>201</v>
      </c>
      <c r="AO36">
        <v>50</v>
      </c>
      <c r="AP36">
        <v>1333</v>
      </c>
      <c r="AQ36">
        <v>362.4</v>
      </c>
      <c r="AR36">
        <v>362.4</v>
      </c>
      <c r="AS36">
        <v>5</v>
      </c>
      <c r="AT36">
        <v>1</v>
      </c>
      <c r="AU36">
        <v>1142</v>
      </c>
      <c r="AV36">
        <v>99.1</v>
      </c>
    </row>
    <row r="37" spans="1:48" x14ac:dyDescent="0.3">
      <c r="A37" t="s">
        <v>28</v>
      </c>
      <c r="B37" t="s">
        <v>58</v>
      </c>
      <c r="C37">
        <v>0</v>
      </c>
      <c r="D37">
        <v>0</v>
      </c>
      <c r="E37">
        <v>1</v>
      </c>
      <c r="F37">
        <v>25</v>
      </c>
      <c r="G37">
        <v>27</v>
      </c>
      <c r="H37">
        <v>3</v>
      </c>
      <c r="I37">
        <v>200</v>
      </c>
      <c r="J37">
        <v>0</v>
      </c>
      <c r="K37" t="s">
        <v>24</v>
      </c>
      <c r="L37">
        <v>1202.3</v>
      </c>
      <c r="M37" s="23">
        <v>274.72969999999998</v>
      </c>
      <c r="N37" s="15">
        <v>190.73759999999999</v>
      </c>
      <c r="O37" s="15">
        <v>199.49709999999999</v>
      </c>
      <c r="P37">
        <v>4.5923999999999996</v>
      </c>
      <c r="Q37">
        <v>0</v>
      </c>
      <c r="R37" s="20">
        <v>1</v>
      </c>
      <c r="S37" s="20">
        <v>1506</v>
      </c>
      <c r="T37" t="s">
        <v>57</v>
      </c>
      <c r="U37" t="s">
        <v>60</v>
      </c>
      <c r="V37" s="1">
        <v>46107.622812499998</v>
      </c>
      <c r="AB37"/>
      <c r="AC37"/>
      <c r="AF37"/>
      <c r="AG37"/>
      <c r="AN37" t="s">
        <v>202</v>
      </c>
      <c r="AO37">
        <v>25</v>
      </c>
      <c r="AP37">
        <v>336</v>
      </c>
      <c r="AQ37">
        <v>191.3</v>
      </c>
      <c r="AR37">
        <v>191.3</v>
      </c>
      <c r="AS37">
        <v>3</v>
      </c>
      <c r="AT37">
        <v>1</v>
      </c>
      <c r="AU37">
        <v>447</v>
      </c>
      <c r="AV37">
        <v>20.7</v>
      </c>
    </row>
    <row r="38" spans="1:48" s="8" customFormat="1" x14ac:dyDescent="0.3">
      <c r="A38" s="8" t="s">
        <v>29</v>
      </c>
      <c r="B38" s="8" t="s">
        <v>58</v>
      </c>
      <c r="C38" s="8">
        <v>0</v>
      </c>
      <c r="D38" s="8">
        <v>0</v>
      </c>
      <c r="E38" s="8">
        <v>2</v>
      </c>
      <c r="F38" s="8">
        <v>25</v>
      </c>
      <c r="G38" s="8">
        <v>27</v>
      </c>
      <c r="H38" s="8">
        <v>3</v>
      </c>
      <c r="I38" s="8">
        <v>200</v>
      </c>
      <c r="J38" s="8">
        <v>0</v>
      </c>
      <c r="K38" s="8" t="s">
        <v>24</v>
      </c>
      <c r="L38" s="8">
        <v>1202.3</v>
      </c>
      <c r="M38" s="23">
        <v>3600.1190000000001</v>
      </c>
      <c r="N38" s="15">
        <v>190.73759999999999</v>
      </c>
      <c r="O38" s="15">
        <v>-1</v>
      </c>
      <c r="R38" s="20">
        <v>0</v>
      </c>
      <c r="S38" s="20">
        <v>0</v>
      </c>
      <c r="T38" s="8" t="s">
        <v>57</v>
      </c>
      <c r="U38" s="8" t="s">
        <v>61</v>
      </c>
      <c r="V38" s="9">
        <v>46107.664479166669</v>
      </c>
      <c r="Y38"/>
      <c r="Z38"/>
      <c r="AA38"/>
      <c r="AB38"/>
      <c r="AC38"/>
      <c r="AD38"/>
      <c r="AE38"/>
      <c r="AF38"/>
      <c r="AG38"/>
      <c r="AI38" s="18"/>
      <c r="AJ38" s="18"/>
      <c r="AN38" s="8" t="s">
        <v>202</v>
      </c>
      <c r="AO38" s="8">
        <v>50</v>
      </c>
      <c r="AP38" s="8">
        <v>1272</v>
      </c>
      <c r="AQ38" s="8">
        <v>362.4</v>
      </c>
      <c r="AR38" s="8">
        <v>362.4</v>
      </c>
      <c r="AS38" s="8">
        <v>5</v>
      </c>
      <c r="AT38" s="8">
        <v>1</v>
      </c>
      <c r="AU38" s="8">
        <v>1170</v>
      </c>
      <c r="AV38" s="8">
        <v>91.3</v>
      </c>
    </row>
    <row r="39" spans="1:48" x14ac:dyDescent="0.3">
      <c r="A39" t="s">
        <v>22</v>
      </c>
      <c r="B39" t="s">
        <v>79</v>
      </c>
      <c r="C39">
        <v>0</v>
      </c>
      <c r="D39">
        <v>0</v>
      </c>
      <c r="E39">
        <v>10</v>
      </c>
      <c r="F39">
        <v>25</v>
      </c>
      <c r="G39">
        <v>27</v>
      </c>
      <c r="H39">
        <v>8</v>
      </c>
      <c r="I39">
        <v>200</v>
      </c>
      <c r="J39">
        <v>0</v>
      </c>
      <c r="K39" t="s">
        <v>24</v>
      </c>
      <c r="L39">
        <v>0.73150000000000004</v>
      </c>
      <c r="M39" s="23">
        <v>24.970600000000001</v>
      </c>
      <c r="N39" s="15" t="s">
        <v>80</v>
      </c>
      <c r="O39" s="15" t="s">
        <v>80</v>
      </c>
      <c r="P39">
        <v>0</v>
      </c>
      <c r="Q39">
        <v>1</v>
      </c>
      <c r="R39" s="20">
        <v>1</v>
      </c>
      <c r="S39" s="20">
        <v>1176</v>
      </c>
      <c r="T39" t="s">
        <v>81</v>
      </c>
      <c r="U39" t="s">
        <v>82</v>
      </c>
      <c r="V39" s="1">
        <v>46107.712962962964</v>
      </c>
      <c r="AB39"/>
      <c r="AC39"/>
      <c r="AF39"/>
      <c r="AG39"/>
      <c r="AN39" t="s">
        <v>202</v>
      </c>
      <c r="AO39">
        <v>100</v>
      </c>
      <c r="AP39">
        <v>5423</v>
      </c>
      <c r="AQ39">
        <v>827.3</v>
      </c>
      <c r="AR39">
        <v>827.3</v>
      </c>
      <c r="AS39">
        <v>10</v>
      </c>
      <c r="AT39">
        <v>1</v>
      </c>
      <c r="AU39">
        <v>3681</v>
      </c>
      <c r="AV39">
        <v>724.8</v>
      </c>
    </row>
    <row r="40" spans="1:48" x14ac:dyDescent="0.3">
      <c r="A40" t="s">
        <v>27</v>
      </c>
      <c r="B40" t="s">
        <v>79</v>
      </c>
      <c r="C40">
        <v>0</v>
      </c>
      <c r="D40">
        <v>0</v>
      </c>
      <c r="E40">
        <v>0</v>
      </c>
      <c r="F40">
        <v>25</v>
      </c>
      <c r="G40">
        <v>27</v>
      </c>
      <c r="H40">
        <v>8</v>
      </c>
      <c r="I40">
        <v>200</v>
      </c>
      <c r="J40">
        <v>0</v>
      </c>
      <c r="K40" t="s">
        <v>24</v>
      </c>
      <c r="L40">
        <v>0.73150000000000004</v>
      </c>
      <c r="M40" s="23">
        <v>68.939099999999996</v>
      </c>
      <c r="N40" s="15" t="s">
        <v>80</v>
      </c>
      <c r="O40" s="15" t="s">
        <v>80</v>
      </c>
      <c r="P40">
        <v>0</v>
      </c>
      <c r="Q40">
        <v>1</v>
      </c>
      <c r="R40" s="20">
        <v>1</v>
      </c>
      <c r="S40" s="20">
        <v>848</v>
      </c>
      <c r="T40" t="s">
        <v>81</v>
      </c>
      <c r="U40" t="s">
        <v>83</v>
      </c>
      <c r="V40" s="1">
        <v>46107.713761574072</v>
      </c>
      <c r="AB40"/>
      <c r="AC40"/>
      <c r="AF40"/>
      <c r="AG40"/>
      <c r="AN40" t="s">
        <v>203</v>
      </c>
      <c r="AO40">
        <v>25</v>
      </c>
      <c r="AP40">
        <v>377</v>
      </c>
      <c r="AQ40">
        <v>191.3</v>
      </c>
      <c r="AR40">
        <v>191.3</v>
      </c>
      <c r="AS40">
        <v>3</v>
      </c>
      <c r="AT40">
        <v>1</v>
      </c>
      <c r="AU40">
        <v>514</v>
      </c>
      <c r="AV40">
        <v>31.7</v>
      </c>
    </row>
    <row r="41" spans="1:48" x14ac:dyDescent="0.3">
      <c r="A41" t="s">
        <v>28</v>
      </c>
      <c r="B41" t="s">
        <v>79</v>
      </c>
      <c r="C41">
        <v>0</v>
      </c>
      <c r="D41">
        <v>0</v>
      </c>
      <c r="E41">
        <v>1</v>
      </c>
      <c r="F41">
        <v>25</v>
      </c>
      <c r="G41">
        <v>27</v>
      </c>
      <c r="H41">
        <v>8</v>
      </c>
      <c r="I41">
        <v>200</v>
      </c>
      <c r="J41">
        <v>0</v>
      </c>
      <c r="K41" t="s">
        <v>24</v>
      </c>
      <c r="L41">
        <v>0.73150000000000004</v>
      </c>
      <c r="M41" s="23">
        <v>21.856000000000002</v>
      </c>
      <c r="N41" s="15" t="s">
        <v>80</v>
      </c>
      <c r="O41" s="15" t="s">
        <v>80</v>
      </c>
      <c r="P41">
        <v>0</v>
      </c>
      <c r="Q41">
        <v>1</v>
      </c>
      <c r="R41" s="20">
        <v>1</v>
      </c>
      <c r="S41" s="20">
        <v>1064</v>
      </c>
      <c r="T41" t="s">
        <v>81</v>
      </c>
      <c r="U41" t="s">
        <v>84</v>
      </c>
      <c r="V41" s="1">
        <v>46107.714016203703</v>
      </c>
      <c r="AB41"/>
      <c r="AC41"/>
      <c r="AF41"/>
      <c r="AG41"/>
      <c r="AN41" t="s">
        <v>203</v>
      </c>
      <c r="AO41">
        <v>50</v>
      </c>
      <c r="AP41">
        <v>1443</v>
      </c>
      <c r="AQ41">
        <v>362.4</v>
      </c>
      <c r="AR41">
        <v>362.4</v>
      </c>
      <c r="AS41">
        <v>5</v>
      </c>
      <c r="AT41">
        <v>1</v>
      </c>
      <c r="AU41">
        <v>1725</v>
      </c>
      <c r="AV41">
        <v>170.6</v>
      </c>
    </row>
    <row r="42" spans="1:48" x14ac:dyDescent="0.3">
      <c r="A42" t="s">
        <v>29</v>
      </c>
      <c r="B42" t="s">
        <v>79</v>
      </c>
      <c r="C42">
        <v>0</v>
      </c>
      <c r="D42">
        <v>0</v>
      </c>
      <c r="E42">
        <v>2</v>
      </c>
      <c r="F42">
        <v>25</v>
      </c>
      <c r="G42">
        <v>27</v>
      </c>
      <c r="H42">
        <v>8</v>
      </c>
      <c r="I42">
        <v>200</v>
      </c>
      <c r="J42">
        <v>0</v>
      </c>
      <c r="K42" t="s">
        <v>24</v>
      </c>
      <c r="L42">
        <v>0.73150000000000004</v>
      </c>
      <c r="M42" s="23">
        <v>35.846600000000002</v>
      </c>
      <c r="N42" s="15" t="s">
        <v>80</v>
      </c>
      <c r="O42" s="15" t="s">
        <v>80</v>
      </c>
      <c r="P42">
        <v>0</v>
      </c>
      <c r="Q42">
        <v>1</v>
      </c>
      <c r="R42" s="20">
        <v>1</v>
      </c>
      <c r="S42" s="20">
        <v>1184</v>
      </c>
      <c r="T42" t="s">
        <v>81</v>
      </c>
      <c r="U42" t="s">
        <v>85</v>
      </c>
      <c r="V42" s="1">
        <v>46107.714432870373</v>
      </c>
      <c r="AB42"/>
      <c r="AC42"/>
      <c r="AF42"/>
      <c r="AG42"/>
      <c r="AN42" t="s">
        <v>203</v>
      </c>
      <c r="AO42">
        <v>100</v>
      </c>
      <c r="AP42">
        <v>5621</v>
      </c>
      <c r="AQ42">
        <v>827.3</v>
      </c>
      <c r="AR42">
        <v>827.3</v>
      </c>
      <c r="AS42">
        <v>10</v>
      </c>
      <c r="AT42">
        <v>1</v>
      </c>
      <c r="AU42">
        <v>4970</v>
      </c>
      <c r="AV42">
        <v>1010.4</v>
      </c>
    </row>
    <row r="43" spans="1:48" x14ac:dyDescent="0.3">
      <c r="A43" t="s">
        <v>31</v>
      </c>
      <c r="B43" t="s">
        <v>79</v>
      </c>
      <c r="C43">
        <v>0</v>
      </c>
      <c r="D43">
        <v>0</v>
      </c>
      <c r="E43">
        <v>3</v>
      </c>
      <c r="F43">
        <v>25</v>
      </c>
      <c r="G43">
        <v>27</v>
      </c>
      <c r="H43">
        <v>8</v>
      </c>
      <c r="I43">
        <v>200</v>
      </c>
      <c r="J43">
        <v>0</v>
      </c>
      <c r="K43" t="s">
        <v>24</v>
      </c>
      <c r="L43">
        <v>0.73150000000000004</v>
      </c>
      <c r="M43" s="23">
        <v>2.7225999999999999</v>
      </c>
      <c r="N43" s="15" t="s">
        <v>80</v>
      </c>
      <c r="O43" s="15" t="s">
        <v>86</v>
      </c>
      <c r="P43">
        <v>4.6147999999999998</v>
      </c>
      <c r="Q43">
        <v>0</v>
      </c>
      <c r="R43" s="20">
        <v>1</v>
      </c>
      <c r="S43" s="20">
        <v>976</v>
      </c>
      <c r="T43" t="s">
        <v>81</v>
      </c>
      <c r="U43" t="s">
        <v>87</v>
      </c>
      <c r="V43" s="1">
        <v>46107.714456018519</v>
      </c>
      <c r="AB43"/>
      <c r="AC43"/>
      <c r="AF43"/>
      <c r="AG43"/>
      <c r="AI43" s="18" t="s">
        <v>214</v>
      </c>
      <c r="AN43" t="s">
        <v>204</v>
      </c>
      <c r="AO43">
        <v>25</v>
      </c>
      <c r="AP43">
        <v>431</v>
      </c>
      <c r="AQ43">
        <v>191.3</v>
      </c>
      <c r="AR43">
        <v>191.3</v>
      </c>
      <c r="AS43">
        <v>3</v>
      </c>
      <c r="AT43">
        <v>1</v>
      </c>
      <c r="AU43">
        <v>513</v>
      </c>
      <c r="AV43">
        <v>43.1</v>
      </c>
    </row>
    <row r="44" spans="1:48" x14ac:dyDescent="0.3">
      <c r="A44" t="s">
        <v>52</v>
      </c>
      <c r="B44" t="s">
        <v>79</v>
      </c>
      <c r="C44">
        <v>0</v>
      </c>
      <c r="D44">
        <v>0</v>
      </c>
      <c r="E44">
        <v>22</v>
      </c>
      <c r="F44">
        <v>25</v>
      </c>
      <c r="G44">
        <v>27</v>
      </c>
      <c r="H44">
        <v>8</v>
      </c>
      <c r="I44">
        <v>200</v>
      </c>
      <c r="J44">
        <v>0</v>
      </c>
      <c r="K44" t="s">
        <v>24</v>
      </c>
      <c r="L44">
        <v>0.73150000000000004</v>
      </c>
      <c r="M44" s="23">
        <v>105.4837</v>
      </c>
      <c r="N44" s="15" t="s">
        <v>80</v>
      </c>
      <c r="O44" s="15" t="s">
        <v>80</v>
      </c>
      <c r="P44">
        <v>0</v>
      </c>
      <c r="Q44">
        <v>1</v>
      </c>
      <c r="R44" s="20">
        <v>1</v>
      </c>
      <c r="S44" s="20">
        <v>480</v>
      </c>
      <c r="T44" t="s">
        <v>81</v>
      </c>
      <c r="U44" t="s">
        <v>88</v>
      </c>
      <c r="V44" s="1">
        <v>46107.715682870374</v>
      </c>
      <c r="Y44" t="s">
        <v>176</v>
      </c>
      <c r="Z44" t="s">
        <v>177</v>
      </c>
      <c r="AA44" t="s">
        <v>178</v>
      </c>
      <c r="AB44" s="15" t="s">
        <v>179</v>
      </c>
      <c r="AC44" s="15" t="s">
        <v>180</v>
      </c>
      <c r="AD44" t="s">
        <v>181</v>
      </c>
      <c r="AE44" t="s">
        <v>182</v>
      </c>
      <c r="AF44" s="20" t="s">
        <v>183</v>
      </c>
      <c r="AG44" s="21" t="s">
        <v>184</v>
      </c>
      <c r="AI44" s="15" t="s">
        <v>218</v>
      </c>
      <c r="AJ44" s="15" t="s">
        <v>219</v>
      </c>
      <c r="AK44" s="20" t="s">
        <v>216</v>
      </c>
      <c r="AL44" s="20" t="s">
        <v>217</v>
      </c>
      <c r="AM44" s="21" t="s">
        <v>215</v>
      </c>
      <c r="AN44" t="s">
        <v>204</v>
      </c>
      <c r="AO44">
        <v>50</v>
      </c>
      <c r="AP44">
        <v>1643</v>
      </c>
      <c r="AQ44">
        <v>362.4</v>
      </c>
      <c r="AR44">
        <v>362.4</v>
      </c>
      <c r="AS44">
        <v>5</v>
      </c>
      <c r="AT44">
        <v>1</v>
      </c>
      <c r="AU44">
        <v>1605</v>
      </c>
      <c r="AV44">
        <v>245.6</v>
      </c>
    </row>
    <row r="45" spans="1:48" s="13" customFormat="1" x14ac:dyDescent="0.3">
      <c r="A45" s="13" t="s">
        <v>22</v>
      </c>
      <c r="B45" s="13" t="s">
        <v>79</v>
      </c>
      <c r="C45" s="13">
        <v>0</v>
      </c>
      <c r="D45" s="13">
        <v>0</v>
      </c>
      <c r="E45" s="13">
        <v>10</v>
      </c>
      <c r="F45" s="13">
        <v>25</v>
      </c>
      <c r="G45" s="13">
        <v>27</v>
      </c>
      <c r="H45" s="13">
        <v>8</v>
      </c>
      <c r="I45" s="13">
        <v>200</v>
      </c>
      <c r="J45" s="13">
        <v>0</v>
      </c>
      <c r="K45" s="13" t="s">
        <v>24</v>
      </c>
      <c r="L45" s="13">
        <v>0.73960000000000004</v>
      </c>
      <c r="M45" s="23">
        <v>25.3171</v>
      </c>
      <c r="N45" s="15" t="s">
        <v>80</v>
      </c>
      <c r="O45" s="15" t="s">
        <v>80</v>
      </c>
      <c r="P45" s="13">
        <v>0</v>
      </c>
      <c r="Q45" s="13">
        <v>1</v>
      </c>
      <c r="R45" s="20">
        <v>1</v>
      </c>
      <c r="S45" s="20">
        <v>1176</v>
      </c>
      <c r="T45" s="13" t="s">
        <v>81</v>
      </c>
      <c r="U45" s="13" t="s">
        <v>82</v>
      </c>
      <c r="V45" s="14">
        <v>46107.819814814815</v>
      </c>
      <c r="Y45" t="s">
        <v>185</v>
      </c>
      <c r="Z45">
        <v>25</v>
      </c>
      <c r="AA45">
        <v>227</v>
      </c>
      <c r="AB45" s="15">
        <v>617.1</v>
      </c>
      <c r="AC45" s="15">
        <v>617.1</v>
      </c>
      <c r="AD45">
        <v>8</v>
      </c>
      <c r="AE45">
        <v>1</v>
      </c>
      <c r="AF45" s="20">
        <v>78</v>
      </c>
      <c r="AG45" s="21">
        <v>5.8</v>
      </c>
      <c r="AI45" s="22">
        <f>(AC45-N45)/AC45</f>
        <v>-1.993031923513093E-3</v>
      </c>
      <c r="AJ45" s="22">
        <f t="shared" ref="AJ45:AJ56" si="0">(AC45-O45)/AC45</f>
        <v>-1.993031923513093E-3</v>
      </c>
      <c r="AK45" s="20">
        <f>R45/AE45</f>
        <v>1</v>
      </c>
      <c r="AL45" s="20">
        <f>S45/AF45</f>
        <v>15.076923076923077</v>
      </c>
      <c r="AM45" s="21">
        <f>M45/AG45</f>
        <v>4.3650172413793102</v>
      </c>
      <c r="AN45" s="13" t="s">
        <v>204</v>
      </c>
      <c r="AO45" s="13">
        <v>100</v>
      </c>
      <c r="AP45" s="13">
        <v>6344</v>
      </c>
      <c r="AQ45" s="13">
        <v>827.3</v>
      </c>
      <c r="AR45" s="13">
        <v>827.3</v>
      </c>
      <c r="AS45" s="13">
        <v>10</v>
      </c>
      <c r="AT45" s="13">
        <v>1</v>
      </c>
      <c r="AU45" s="13">
        <v>4989</v>
      </c>
      <c r="AV45" s="13">
        <v>1613.6</v>
      </c>
    </row>
    <row r="46" spans="1:48" x14ac:dyDescent="0.3">
      <c r="A46" t="s">
        <v>22</v>
      </c>
      <c r="B46" t="s">
        <v>89</v>
      </c>
      <c r="C46">
        <v>0</v>
      </c>
      <c r="D46">
        <v>0</v>
      </c>
      <c r="E46">
        <v>10</v>
      </c>
      <c r="F46">
        <v>25</v>
      </c>
      <c r="G46">
        <v>27</v>
      </c>
      <c r="H46">
        <v>7</v>
      </c>
      <c r="I46">
        <v>200</v>
      </c>
      <c r="J46">
        <v>0</v>
      </c>
      <c r="K46" t="s">
        <v>24</v>
      </c>
      <c r="L46">
        <v>1200.9863</v>
      </c>
      <c r="M46" s="23">
        <v>1620.0409</v>
      </c>
      <c r="N46" s="15" t="s">
        <v>90</v>
      </c>
      <c r="O46" s="15" t="s">
        <v>90</v>
      </c>
      <c r="P46">
        <v>0</v>
      </c>
      <c r="Q46">
        <v>1</v>
      </c>
      <c r="R46" s="20">
        <v>2585</v>
      </c>
      <c r="S46" s="20">
        <v>2170</v>
      </c>
      <c r="T46" t="s">
        <v>91</v>
      </c>
      <c r="U46" t="s">
        <v>92</v>
      </c>
      <c r="V46" s="1">
        <v>46107.852465277778</v>
      </c>
      <c r="Y46" t="s">
        <v>186</v>
      </c>
      <c r="Z46">
        <v>25</v>
      </c>
      <c r="AA46">
        <v>404</v>
      </c>
      <c r="AB46" s="15">
        <v>546.4</v>
      </c>
      <c r="AC46" s="15">
        <v>547.1</v>
      </c>
      <c r="AD46">
        <v>7</v>
      </c>
      <c r="AE46">
        <v>3</v>
      </c>
      <c r="AF46" s="20">
        <v>165</v>
      </c>
      <c r="AG46" s="21">
        <v>20.3</v>
      </c>
      <c r="AI46" s="22">
        <f t="shared" ref="AI46:AI56" si="1">(AC46-N46)/AC46</f>
        <v>-1.8420764028513519E-3</v>
      </c>
      <c r="AJ46" s="22">
        <f t="shared" si="0"/>
        <v>-1.8420764028513519E-3</v>
      </c>
      <c r="AK46" s="20">
        <f>R46/AE46</f>
        <v>861.66666666666663</v>
      </c>
      <c r="AL46" s="20">
        <f t="shared" ref="AL46:AL56" si="2">S46/AF46</f>
        <v>13.151515151515152</v>
      </c>
      <c r="AM46" s="21">
        <f t="shared" ref="AM46:AM56" si="3">M46/AG46</f>
        <v>79.804970443349745</v>
      </c>
      <c r="AN46" t="s">
        <v>205</v>
      </c>
      <c r="AO46">
        <v>25</v>
      </c>
      <c r="AP46">
        <v>482</v>
      </c>
      <c r="AQ46">
        <v>189.4</v>
      </c>
      <c r="AR46">
        <v>191.3</v>
      </c>
      <c r="AS46">
        <v>3</v>
      </c>
      <c r="AT46">
        <v>3</v>
      </c>
      <c r="AU46">
        <v>1747</v>
      </c>
      <c r="AV46">
        <v>585.4</v>
      </c>
    </row>
    <row r="47" spans="1:48" x14ac:dyDescent="0.3">
      <c r="A47" t="s">
        <v>22</v>
      </c>
      <c r="B47" t="s">
        <v>93</v>
      </c>
      <c r="C47">
        <v>0</v>
      </c>
      <c r="D47">
        <v>0</v>
      </c>
      <c r="E47">
        <v>10</v>
      </c>
      <c r="F47">
        <v>25</v>
      </c>
      <c r="G47">
        <v>27</v>
      </c>
      <c r="H47">
        <v>5</v>
      </c>
      <c r="I47">
        <v>200</v>
      </c>
      <c r="J47">
        <v>0</v>
      </c>
      <c r="K47" t="s">
        <v>24</v>
      </c>
      <c r="L47">
        <v>1201.1936000000001</v>
      </c>
      <c r="M47" s="23">
        <v>185.24809999999999</v>
      </c>
      <c r="N47" s="15" t="s">
        <v>94</v>
      </c>
      <c r="O47" s="15" t="s">
        <v>95</v>
      </c>
      <c r="P47">
        <v>-2.6800999999999999</v>
      </c>
      <c r="Q47">
        <v>0</v>
      </c>
      <c r="R47" s="20">
        <v>1</v>
      </c>
      <c r="S47" s="20">
        <v>1525</v>
      </c>
      <c r="T47" t="s">
        <v>96</v>
      </c>
      <c r="U47" t="s">
        <v>97</v>
      </c>
      <c r="V47" s="1">
        <v>46107.868506944447</v>
      </c>
      <c r="Y47" t="s">
        <v>187</v>
      </c>
      <c r="Z47">
        <v>25</v>
      </c>
      <c r="AA47">
        <v>510</v>
      </c>
      <c r="AB47" s="15">
        <v>454.6</v>
      </c>
      <c r="AC47" s="15">
        <v>454.6</v>
      </c>
      <c r="AD47">
        <v>5</v>
      </c>
      <c r="AE47">
        <v>1</v>
      </c>
      <c r="AF47" s="20">
        <v>246</v>
      </c>
      <c r="AG47" s="21">
        <v>22.2</v>
      </c>
      <c r="AI47" s="22">
        <f t="shared" si="1"/>
        <v>-3.0021777386713577E-2</v>
      </c>
      <c r="AJ47" s="22">
        <f t="shared" si="0"/>
        <v>-2.4157501099867202E-3</v>
      </c>
      <c r="AK47" s="20">
        <f t="shared" ref="AK47:AK56" si="4">R47/AE47</f>
        <v>1</v>
      </c>
      <c r="AL47" s="20">
        <f t="shared" si="2"/>
        <v>6.1991869918699187</v>
      </c>
      <c r="AM47" s="21">
        <f t="shared" si="3"/>
        <v>8.344509009009009</v>
      </c>
    </row>
    <row r="48" spans="1:48" x14ac:dyDescent="0.3">
      <c r="A48" t="s">
        <v>22</v>
      </c>
      <c r="B48" t="s">
        <v>98</v>
      </c>
      <c r="C48">
        <v>0</v>
      </c>
      <c r="D48">
        <v>0</v>
      </c>
      <c r="E48">
        <v>10</v>
      </c>
      <c r="F48">
        <v>25</v>
      </c>
      <c r="G48">
        <v>27</v>
      </c>
      <c r="H48">
        <v>4</v>
      </c>
      <c r="I48">
        <v>200</v>
      </c>
      <c r="J48">
        <v>0</v>
      </c>
      <c r="K48" t="s">
        <v>24</v>
      </c>
      <c r="L48">
        <v>1201.6167</v>
      </c>
      <c r="M48" s="23">
        <v>162.71610000000001</v>
      </c>
      <c r="N48" s="15" t="s">
        <v>99</v>
      </c>
      <c r="O48" s="15" t="s">
        <v>100</v>
      </c>
      <c r="P48">
        <v>-7.8745000000000003</v>
      </c>
      <c r="Q48">
        <v>0</v>
      </c>
      <c r="R48" s="20">
        <v>3</v>
      </c>
      <c r="S48" s="20">
        <v>1732</v>
      </c>
      <c r="T48" t="s">
        <v>101</v>
      </c>
      <c r="U48" t="s">
        <v>102</v>
      </c>
      <c r="V48" s="1">
        <v>46107.884293981479</v>
      </c>
      <c r="Y48" t="s">
        <v>188</v>
      </c>
      <c r="Z48">
        <v>25</v>
      </c>
      <c r="AA48">
        <v>559</v>
      </c>
      <c r="AB48" s="15">
        <v>416.9</v>
      </c>
      <c r="AC48" s="15">
        <v>416.9</v>
      </c>
      <c r="AD48">
        <v>4</v>
      </c>
      <c r="AE48">
        <v>1</v>
      </c>
      <c r="AF48" s="20">
        <v>419</v>
      </c>
      <c r="AG48" s="21">
        <v>46</v>
      </c>
      <c r="AI48" s="22">
        <f t="shared" si="1"/>
        <v>-8.8239146078196218E-2</v>
      </c>
      <c r="AJ48" s="22">
        <f t="shared" si="0"/>
        <v>-2.5454545454546467E-3</v>
      </c>
      <c r="AK48" s="20">
        <f t="shared" si="4"/>
        <v>3</v>
      </c>
      <c r="AL48" s="20">
        <f t="shared" si="2"/>
        <v>4.1336515513126493</v>
      </c>
      <c r="AM48" s="21">
        <f t="shared" si="3"/>
        <v>3.5373065217391306</v>
      </c>
      <c r="AN48" t="s">
        <v>206</v>
      </c>
      <c r="AO48">
        <v>25</v>
      </c>
      <c r="AP48">
        <v>277</v>
      </c>
      <c r="AQ48">
        <v>405.1</v>
      </c>
      <c r="AR48">
        <v>461.1</v>
      </c>
      <c r="AS48">
        <v>4</v>
      </c>
      <c r="AT48">
        <v>99</v>
      </c>
      <c r="AU48">
        <v>6399</v>
      </c>
      <c r="AV48">
        <v>225.4</v>
      </c>
    </row>
    <row r="49" spans="1:48" x14ac:dyDescent="0.3">
      <c r="A49" t="s">
        <v>22</v>
      </c>
      <c r="B49" t="s">
        <v>103</v>
      </c>
      <c r="C49">
        <v>0</v>
      </c>
      <c r="D49">
        <v>0</v>
      </c>
      <c r="E49">
        <v>10</v>
      </c>
      <c r="F49">
        <v>25</v>
      </c>
      <c r="G49">
        <v>27</v>
      </c>
      <c r="H49">
        <v>6</v>
      </c>
      <c r="I49">
        <v>200</v>
      </c>
      <c r="J49">
        <v>0</v>
      </c>
      <c r="K49" t="s">
        <v>24</v>
      </c>
      <c r="L49">
        <v>17.6753</v>
      </c>
      <c r="M49" s="23">
        <v>45.564900000000002</v>
      </c>
      <c r="N49" s="15" t="s">
        <v>104</v>
      </c>
      <c r="O49" s="15" t="s">
        <v>104</v>
      </c>
      <c r="P49">
        <v>0</v>
      </c>
      <c r="Q49">
        <v>1</v>
      </c>
      <c r="R49" s="20">
        <v>1</v>
      </c>
      <c r="S49" s="20">
        <v>1242</v>
      </c>
      <c r="T49" t="s">
        <v>105</v>
      </c>
      <c r="U49" t="s">
        <v>106</v>
      </c>
      <c r="V49" s="1">
        <v>46107.885034722225</v>
      </c>
      <c r="Y49" t="s">
        <v>189</v>
      </c>
      <c r="Z49">
        <v>25</v>
      </c>
      <c r="AA49">
        <v>303</v>
      </c>
      <c r="AB49" s="15">
        <v>526</v>
      </c>
      <c r="AC49" s="15">
        <v>530.5</v>
      </c>
      <c r="AD49">
        <v>6</v>
      </c>
      <c r="AE49">
        <v>7</v>
      </c>
      <c r="AF49" s="20">
        <v>554</v>
      </c>
      <c r="AG49" s="21">
        <v>22.6</v>
      </c>
      <c r="AI49" s="22">
        <f t="shared" si="1"/>
        <v>-1.9577756833175758E-3</v>
      </c>
      <c r="AJ49" s="22">
        <f t="shared" si="0"/>
        <v>-1.9577756833175758E-3</v>
      </c>
      <c r="AK49" s="20">
        <f t="shared" si="4"/>
        <v>0.14285714285714285</v>
      </c>
      <c r="AL49" s="20">
        <f t="shared" si="2"/>
        <v>2.2418772563176894</v>
      </c>
      <c r="AM49" s="21">
        <f t="shared" si="3"/>
        <v>2.0161460176991151</v>
      </c>
      <c r="AN49" t="s">
        <v>207</v>
      </c>
      <c r="AO49">
        <v>25</v>
      </c>
      <c r="AP49">
        <v>408</v>
      </c>
      <c r="AQ49">
        <v>346</v>
      </c>
      <c r="AR49">
        <v>346</v>
      </c>
      <c r="AS49">
        <v>3</v>
      </c>
      <c r="AT49">
        <v>1</v>
      </c>
      <c r="AU49">
        <v>255</v>
      </c>
      <c r="AV49">
        <v>18.100000000000001</v>
      </c>
    </row>
    <row r="50" spans="1:48" x14ac:dyDescent="0.3">
      <c r="A50" t="s">
        <v>22</v>
      </c>
      <c r="B50" t="s">
        <v>107</v>
      </c>
      <c r="C50">
        <v>0</v>
      </c>
      <c r="D50">
        <v>0</v>
      </c>
      <c r="E50">
        <v>10</v>
      </c>
      <c r="F50">
        <v>25</v>
      </c>
      <c r="G50">
        <v>27</v>
      </c>
      <c r="H50">
        <v>5</v>
      </c>
      <c r="I50">
        <v>200</v>
      </c>
      <c r="J50">
        <v>0</v>
      </c>
      <c r="K50" t="s">
        <v>24</v>
      </c>
      <c r="L50">
        <v>1096.8556000000001</v>
      </c>
      <c r="M50" s="23">
        <v>896.23320000000001</v>
      </c>
      <c r="N50" s="15" t="s">
        <v>108</v>
      </c>
      <c r="O50" s="15" t="s">
        <v>108</v>
      </c>
      <c r="P50">
        <v>0</v>
      </c>
      <c r="Q50">
        <v>1</v>
      </c>
      <c r="R50" s="20">
        <v>135</v>
      </c>
      <c r="S50" s="20">
        <v>2515</v>
      </c>
      <c r="T50" t="s">
        <v>109</v>
      </c>
      <c r="U50" t="s">
        <v>110</v>
      </c>
      <c r="V50" s="1">
        <v>46107.908101851855</v>
      </c>
      <c r="Y50" t="s">
        <v>190</v>
      </c>
      <c r="Z50">
        <v>25</v>
      </c>
      <c r="AA50">
        <v>458</v>
      </c>
      <c r="AB50" s="15">
        <v>457.3</v>
      </c>
      <c r="AC50" s="15">
        <v>467.4</v>
      </c>
      <c r="AD50">
        <v>5</v>
      </c>
      <c r="AE50">
        <v>15</v>
      </c>
      <c r="AF50" s="20">
        <v>2451</v>
      </c>
      <c r="AG50" s="21">
        <v>205.2</v>
      </c>
      <c r="AI50" s="22">
        <f t="shared" si="1"/>
        <v>1.9679075738124785E-3</v>
      </c>
      <c r="AJ50" s="22">
        <f t="shared" si="0"/>
        <v>1.9679075738124785E-3</v>
      </c>
      <c r="AK50" s="20">
        <f t="shared" si="4"/>
        <v>9</v>
      </c>
      <c r="AL50" s="20">
        <f t="shared" si="2"/>
        <v>1.0261117911056712</v>
      </c>
      <c r="AM50" s="21">
        <f t="shared" si="3"/>
        <v>4.3676081871345032</v>
      </c>
      <c r="AN50" t="s">
        <v>208</v>
      </c>
      <c r="AO50">
        <v>25</v>
      </c>
      <c r="AP50">
        <v>518</v>
      </c>
      <c r="AQ50">
        <v>332.1</v>
      </c>
      <c r="AR50">
        <v>332.8</v>
      </c>
      <c r="AS50">
        <v>3</v>
      </c>
      <c r="AT50">
        <v>5</v>
      </c>
      <c r="AU50">
        <v>953</v>
      </c>
      <c r="AV50">
        <v>103</v>
      </c>
    </row>
    <row r="51" spans="1:48" x14ac:dyDescent="0.3">
      <c r="A51" t="s">
        <v>22</v>
      </c>
      <c r="B51" t="s">
        <v>111</v>
      </c>
      <c r="C51">
        <v>0</v>
      </c>
      <c r="D51">
        <v>0</v>
      </c>
      <c r="E51">
        <v>10</v>
      </c>
      <c r="F51">
        <v>25</v>
      </c>
      <c r="G51">
        <v>27</v>
      </c>
      <c r="H51">
        <v>4</v>
      </c>
      <c r="I51">
        <v>200</v>
      </c>
      <c r="J51">
        <v>0</v>
      </c>
      <c r="K51" t="s">
        <v>24</v>
      </c>
      <c r="L51">
        <v>1201.4686999999999</v>
      </c>
      <c r="M51" s="23">
        <v>191.86699999999999</v>
      </c>
      <c r="N51" s="15" t="s">
        <v>112</v>
      </c>
      <c r="O51" s="15" t="s">
        <v>113</v>
      </c>
      <c r="P51">
        <v>-0.91610000000000003</v>
      </c>
      <c r="Q51">
        <v>0</v>
      </c>
      <c r="R51" s="20">
        <v>1</v>
      </c>
      <c r="S51" s="20">
        <v>1816</v>
      </c>
      <c r="T51" t="s">
        <v>114</v>
      </c>
      <c r="U51" t="s">
        <v>115</v>
      </c>
      <c r="V51" s="1">
        <v>46107.924224537041</v>
      </c>
      <c r="Y51" t="s">
        <v>191</v>
      </c>
      <c r="Z51">
        <v>25</v>
      </c>
      <c r="AA51">
        <v>542</v>
      </c>
      <c r="AB51" s="15">
        <v>423</v>
      </c>
      <c r="AC51" s="15">
        <v>424.3</v>
      </c>
      <c r="AD51">
        <v>4</v>
      </c>
      <c r="AE51">
        <v>21</v>
      </c>
      <c r="AF51" s="20">
        <v>3191</v>
      </c>
      <c r="AG51" s="21">
        <v>304.10000000000002</v>
      </c>
      <c r="AI51" s="22">
        <f t="shared" si="1"/>
        <v>-1.154937544190429E-2</v>
      </c>
      <c r="AJ51" s="22">
        <f t="shared" si="0"/>
        <v>-2.2825830780108551E-3</v>
      </c>
      <c r="AK51" s="20">
        <f t="shared" si="4"/>
        <v>4.7619047619047616E-2</v>
      </c>
      <c r="AL51" s="20">
        <f t="shared" si="2"/>
        <v>0.56910059542463176</v>
      </c>
      <c r="AM51" s="21">
        <f t="shared" si="3"/>
        <v>0.63093390332127586</v>
      </c>
      <c r="AN51" t="s">
        <v>209</v>
      </c>
      <c r="AO51">
        <v>25</v>
      </c>
      <c r="AP51">
        <v>564</v>
      </c>
      <c r="AQ51">
        <v>305.89999999999998</v>
      </c>
      <c r="AR51">
        <v>306.60000000000002</v>
      </c>
      <c r="AS51">
        <v>3</v>
      </c>
      <c r="AT51">
        <v>6</v>
      </c>
      <c r="AU51">
        <v>1273</v>
      </c>
      <c r="AV51">
        <v>177.9</v>
      </c>
    </row>
    <row r="52" spans="1:48" x14ac:dyDescent="0.3">
      <c r="A52" t="s">
        <v>22</v>
      </c>
      <c r="B52" t="s">
        <v>116</v>
      </c>
      <c r="C52">
        <v>0</v>
      </c>
      <c r="D52">
        <v>0</v>
      </c>
      <c r="E52">
        <v>10</v>
      </c>
      <c r="F52">
        <v>25</v>
      </c>
      <c r="G52">
        <v>27</v>
      </c>
      <c r="H52">
        <v>4</v>
      </c>
      <c r="I52">
        <v>200</v>
      </c>
      <c r="J52">
        <v>0</v>
      </c>
      <c r="K52" t="s">
        <v>24</v>
      </c>
      <c r="L52">
        <v>1201.4431999999999</v>
      </c>
      <c r="M52" s="23">
        <v>545.2921</v>
      </c>
      <c r="N52" s="15" t="s">
        <v>117</v>
      </c>
      <c r="O52" s="15" t="s">
        <v>117</v>
      </c>
      <c r="P52">
        <v>0</v>
      </c>
      <c r="Q52">
        <v>1</v>
      </c>
      <c r="R52" s="20">
        <v>25</v>
      </c>
      <c r="S52" s="20">
        <v>1920</v>
      </c>
      <c r="T52" t="s">
        <v>118</v>
      </c>
      <c r="U52" t="s">
        <v>119</v>
      </c>
      <c r="V52" s="1">
        <v>46107.944444444445</v>
      </c>
      <c r="Y52" t="s">
        <v>192</v>
      </c>
      <c r="Z52">
        <v>25</v>
      </c>
      <c r="AA52">
        <v>586</v>
      </c>
      <c r="AB52" s="15">
        <v>396.2</v>
      </c>
      <c r="AC52" s="15">
        <v>397.2</v>
      </c>
      <c r="AD52">
        <v>4</v>
      </c>
      <c r="AE52">
        <v>3</v>
      </c>
      <c r="AF52" s="20">
        <v>1041</v>
      </c>
      <c r="AG52" s="21">
        <v>307.39999999999998</v>
      </c>
      <c r="AI52" s="22">
        <f t="shared" si="1"/>
        <v>-2.7560422960724797E-3</v>
      </c>
      <c r="AJ52" s="22">
        <f t="shared" si="0"/>
        <v>-2.7560422960724797E-3</v>
      </c>
      <c r="AK52" s="20">
        <f t="shared" si="4"/>
        <v>8.3333333333333339</v>
      </c>
      <c r="AL52" s="20">
        <f t="shared" si="2"/>
        <v>1.8443804034582132</v>
      </c>
      <c r="AM52" s="21">
        <f t="shared" si="3"/>
        <v>1.7738845152895253</v>
      </c>
      <c r="AN52" t="s">
        <v>210</v>
      </c>
      <c r="AO52">
        <v>25</v>
      </c>
      <c r="AP52">
        <v>372</v>
      </c>
      <c r="AQ52">
        <v>411</v>
      </c>
      <c r="AR52">
        <v>411.3</v>
      </c>
      <c r="AS52">
        <v>4</v>
      </c>
      <c r="AT52">
        <v>5</v>
      </c>
      <c r="AU52">
        <v>488</v>
      </c>
      <c r="AV52">
        <v>37.4</v>
      </c>
    </row>
    <row r="53" spans="1:48" x14ac:dyDescent="0.3">
      <c r="A53" t="s">
        <v>22</v>
      </c>
      <c r="B53" t="s">
        <v>120</v>
      </c>
      <c r="C53">
        <v>0</v>
      </c>
      <c r="D53">
        <v>0</v>
      </c>
      <c r="E53">
        <v>10</v>
      </c>
      <c r="F53">
        <v>25</v>
      </c>
      <c r="G53">
        <v>27</v>
      </c>
      <c r="H53">
        <v>5</v>
      </c>
      <c r="I53">
        <v>200</v>
      </c>
      <c r="J53">
        <v>0</v>
      </c>
      <c r="K53" t="s">
        <v>24</v>
      </c>
      <c r="L53">
        <v>69.622900000000001</v>
      </c>
      <c r="M53" s="23">
        <v>64.655000000000001</v>
      </c>
      <c r="N53" s="15" t="s">
        <v>121</v>
      </c>
      <c r="O53" s="15" t="s">
        <v>121</v>
      </c>
      <c r="P53">
        <v>0</v>
      </c>
      <c r="Q53">
        <v>1</v>
      </c>
      <c r="R53" s="20">
        <v>1</v>
      </c>
      <c r="S53" s="20">
        <v>1730</v>
      </c>
      <c r="T53" t="s">
        <v>122</v>
      </c>
      <c r="U53" t="s">
        <v>123</v>
      </c>
      <c r="V53" s="1">
        <v>46107.94599537037</v>
      </c>
      <c r="Y53" t="s">
        <v>193</v>
      </c>
      <c r="Z53">
        <v>25</v>
      </c>
      <c r="AA53">
        <v>411</v>
      </c>
      <c r="AB53" s="15">
        <v>441.3</v>
      </c>
      <c r="AC53" s="15">
        <v>441.3</v>
      </c>
      <c r="AD53">
        <v>5</v>
      </c>
      <c r="AE53">
        <v>1</v>
      </c>
      <c r="AF53" s="20">
        <v>207</v>
      </c>
      <c r="AG53" s="21">
        <v>14.4</v>
      </c>
      <c r="AI53" s="22">
        <f t="shared" si="1"/>
        <v>-3.0029458418309434E-3</v>
      </c>
      <c r="AJ53" s="22">
        <f t="shared" si="0"/>
        <v>-3.0029458418309434E-3</v>
      </c>
      <c r="AK53" s="20">
        <f t="shared" si="4"/>
        <v>1</v>
      </c>
      <c r="AL53" s="20">
        <f t="shared" si="2"/>
        <v>8.3574879227053138</v>
      </c>
      <c r="AM53" s="21">
        <f t="shared" si="3"/>
        <v>4.4899305555555555</v>
      </c>
      <c r="AN53" t="s">
        <v>211</v>
      </c>
      <c r="AO53">
        <v>25</v>
      </c>
      <c r="AP53">
        <v>388</v>
      </c>
      <c r="AQ53">
        <v>338.3</v>
      </c>
      <c r="AR53">
        <v>345.5</v>
      </c>
      <c r="AS53">
        <v>3</v>
      </c>
      <c r="AT53">
        <v>27</v>
      </c>
      <c r="AU53">
        <v>2064</v>
      </c>
      <c r="AV53">
        <v>248.4</v>
      </c>
    </row>
    <row r="54" spans="1:48" x14ac:dyDescent="0.3">
      <c r="A54" t="s">
        <v>22</v>
      </c>
      <c r="B54" t="s">
        <v>124</v>
      </c>
      <c r="C54">
        <v>0</v>
      </c>
      <c r="D54">
        <v>0</v>
      </c>
      <c r="E54">
        <v>10</v>
      </c>
      <c r="F54">
        <v>25</v>
      </c>
      <c r="G54">
        <v>27</v>
      </c>
      <c r="H54">
        <v>4</v>
      </c>
      <c r="I54">
        <v>200</v>
      </c>
      <c r="J54">
        <v>0</v>
      </c>
      <c r="K54" t="s">
        <v>24</v>
      </c>
      <c r="L54">
        <v>1201.7543000000001</v>
      </c>
      <c r="M54" s="23">
        <v>1085.3520000000001</v>
      </c>
      <c r="N54" s="15" t="s">
        <v>76</v>
      </c>
      <c r="O54" s="15" t="s">
        <v>125</v>
      </c>
      <c r="R54" s="20">
        <v>91</v>
      </c>
      <c r="S54" s="20">
        <v>2664</v>
      </c>
      <c r="T54" t="s">
        <v>126</v>
      </c>
      <c r="U54" t="s">
        <v>127</v>
      </c>
      <c r="V54" s="1">
        <v>46107.97246527778</v>
      </c>
      <c r="Y54" t="s">
        <v>194</v>
      </c>
      <c r="Z54">
        <v>25</v>
      </c>
      <c r="AA54">
        <v>530</v>
      </c>
      <c r="AB54" s="15">
        <v>425.4</v>
      </c>
      <c r="AC54" s="15">
        <v>429.5</v>
      </c>
      <c r="AD54">
        <v>4</v>
      </c>
      <c r="AE54">
        <v>5</v>
      </c>
      <c r="AF54" s="20">
        <v>655</v>
      </c>
      <c r="AG54" s="21">
        <v>64.3</v>
      </c>
      <c r="AI54" s="22">
        <f t="shared" si="1"/>
        <v>1.0023282887077998</v>
      </c>
      <c r="AJ54" s="22">
        <f t="shared" si="0"/>
        <v>-3.8119208381839395E-2</v>
      </c>
      <c r="AK54" s="20">
        <f t="shared" si="4"/>
        <v>18.2</v>
      </c>
      <c r="AL54" s="20">
        <f t="shared" si="2"/>
        <v>4.0671755725190843</v>
      </c>
      <c r="AM54" s="21">
        <f t="shared" si="3"/>
        <v>16.879502332814933</v>
      </c>
      <c r="AN54" t="s">
        <v>212</v>
      </c>
      <c r="AO54">
        <v>25</v>
      </c>
      <c r="AP54">
        <v>513</v>
      </c>
      <c r="AQ54">
        <v>293.3</v>
      </c>
      <c r="AR54">
        <v>298.3</v>
      </c>
      <c r="AS54">
        <v>3</v>
      </c>
      <c r="AT54">
        <v>3</v>
      </c>
      <c r="AU54">
        <v>473</v>
      </c>
      <c r="AV54">
        <v>113.9</v>
      </c>
    </row>
    <row r="55" spans="1:48" x14ac:dyDescent="0.3">
      <c r="A55" t="s">
        <v>22</v>
      </c>
      <c r="B55" t="s">
        <v>128</v>
      </c>
      <c r="C55">
        <v>0</v>
      </c>
      <c r="D55">
        <v>0</v>
      </c>
      <c r="E55">
        <v>10</v>
      </c>
      <c r="F55">
        <v>25</v>
      </c>
      <c r="G55">
        <v>27</v>
      </c>
      <c r="H55">
        <v>4</v>
      </c>
      <c r="I55">
        <v>200</v>
      </c>
      <c r="J55">
        <v>0</v>
      </c>
      <c r="K55" t="s">
        <v>24</v>
      </c>
      <c r="L55">
        <v>1201.4562000000001</v>
      </c>
      <c r="M55" s="23">
        <v>313.93610000000001</v>
      </c>
      <c r="N55" s="15" t="s">
        <v>129</v>
      </c>
      <c r="O55" s="15" t="s">
        <v>130</v>
      </c>
      <c r="P55">
        <v>-2.5415000000000001</v>
      </c>
      <c r="Q55">
        <v>0</v>
      </c>
      <c r="R55" s="20">
        <v>29</v>
      </c>
      <c r="S55" s="20">
        <v>1988</v>
      </c>
      <c r="T55" t="s">
        <v>131</v>
      </c>
      <c r="U55" t="s">
        <v>132</v>
      </c>
      <c r="V55" s="1">
        <v>46107.990011574075</v>
      </c>
      <c r="Y55" t="s">
        <v>195</v>
      </c>
      <c r="Z55">
        <v>25</v>
      </c>
      <c r="AA55">
        <v>526</v>
      </c>
      <c r="AB55" s="15">
        <v>423.5</v>
      </c>
      <c r="AC55" s="15">
        <v>428.8</v>
      </c>
      <c r="AD55">
        <v>4</v>
      </c>
      <c r="AE55">
        <v>15</v>
      </c>
      <c r="AF55" s="20">
        <v>2794</v>
      </c>
      <c r="AG55" s="21">
        <v>330</v>
      </c>
      <c r="AI55" s="22">
        <f t="shared" si="1"/>
        <v>-2.8223880597014899E-2</v>
      </c>
      <c r="AJ55" s="22">
        <f t="shared" si="0"/>
        <v>-2.0914179104477254E-3</v>
      </c>
      <c r="AK55" s="20">
        <f t="shared" si="4"/>
        <v>1.9333333333333333</v>
      </c>
      <c r="AL55" s="20">
        <f t="shared" si="2"/>
        <v>0.71152469577666433</v>
      </c>
      <c r="AM55" s="21">
        <f t="shared" si="3"/>
        <v>0.9513215151515152</v>
      </c>
      <c r="AN55" t="s">
        <v>213</v>
      </c>
      <c r="AO55">
        <v>25</v>
      </c>
      <c r="AP55">
        <v>617</v>
      </c>
      <c r="AQ55">
        <v>280.3</v>
      </c>
      <c r="AR55">
        <v>294.5</v>
      </c>
      <c r="AS55">
        <v>3</v>
      </c>
      <c r="AT55">
        <v>11</v>
      </c>
      <c r="AU55">
        <v>1126</v>
      </c>
      <c r="AV55">
        <v>256</v>
      </c>
    </row>
    <row r="56" spans="1:48" x14ac:dyDescent="0.3">
      <c r="A56" t="s">
        <v>22</v>
      </c>
      <c r="B56" t="s">
        <v>133</v>
      </c>
      <c r="C56">
        <v>0</v>
      </c>
      <c r="D56">
        <v>0</v>
      </c>
      <c r="E56">
        <v>10</v>
      </c>
      <c r="F56">
        <v>25</v>
      </c>
      <c r="G56">
        <v>27</v>
      </c>
      <c r="H56">
        <v>4</v>
      </c>
      <c r="I56">
        <v>200</v>
      </c>
      <c r="J56">
        <v>0</v>
      </c>
      <c r="K56" t="s">
        <v>24</v>
      </c>
      <c r="L56">
        <v>1201.4874</v>
      </c>
      <c r="M56" s="24">
        <v>3346.43</v>
      </c>
      <c r="N56" s="25" t="s">
        <v>134</v>
      </c>
      <c r="O56" s="25" t="s">
        <v>135</v>
      </c>
      <c r="P56">
        <v>0.73140000000000005</v>
      </c>
      <c r="Q56">
        <v>0</v>
      </c>
      <c r="R56" s="26">
        <v>559</v>
      </c>
      <c r="S56" s="26">
        <v>3936</v>
      </c>
      <c r="T56" t="s">
        <v>136</v>
      </c>
      <c r="U56" t="s">
        <v>137</v>
      </c>
      <c r="V56" s="1">
        <v>46108.042650462965</v>
      </c>
      <c r="Y56" t="s">
        <v>196</v>
      </c>
      <c r="Z56">
        <v>25</v>
      </c>
      <c r="AA56">
        <v>647</v>
      </c>
      <c r="AB56" s="25">
        <v>383.9</v>
      </c>
      <c r="AC56" s="25">
        <v>393</v>
      </c>
      <c r="AD56">
        <v>4</v>
      </c>
      <c r="AE56">
        <v>21</v>
      </c>
      <c r="AF56" s="26">
        <v>2643</v>
      </c>
      <c r="AG56" s="27">
        <v>623.29999999999995</v>
      </c>
      <c r="AI56" s="28">
        <f t="shared" si="1"/>
        <v>-2.8022900763358285E-3</v>
      </c>
      <c r="AJ56" s="28">
        <f t="shared" si="0"/>
        <v>-1.0136895674300189E-2</v>
      </c>
      <c r="AK56" s="26">
        <f t="shared" si="4"/>
        <v>26.61904761904762</v>
      </c>
      <c r="AL56" s="26">
        <f t="shared" si="2"/>
        <v>1.4892167990919409</v>
      </c>
      <c r="AM56" s="27">
        <f t="shared" si="3"/>
        <v>5.3688913845660196</v>
      </c>
    </row>
    <row r="57" spans="1:48" s="13" customFormat="1" x14ac:dyDescent="0.3">
      <c r="A57" s="13" t="s">
        <v>22</v>
      </c>
      <c r="B57" s="13" t="s">
        <v>138</v>
      </c>
      <c r="C57" s="13">
        <v>0</v>
      </c>
      <c r="D57" s="13">
        <v>0</v>
      </c>
      <c r="E57" s="13">
        <v>10</v>
      </c>
      <c r="F57" s="13">
        <v>25</v>
      </c>
      <c r="G57" s="13">
        <v>27</v>
      </c>
      <c r="H57" s="13">
        <v>3</v>
      </c>
      <c r="I57" s="13">
        <v>200</v>
      </c>
      <c r="J57" s="13">
        <v>0</v>
      </c>
      <c r="K57" s="13" t="s">
        <v>24</v>
      </c>
      <c r="L57" s="13">
        <v>3.8125</v>
      </c>
      <c r="M57" s="23">
        <v>3605.2732999999998</v>
      </c>
      <c r="N57" s="15" t="s">
        <v>139</v>
      </c>
      <c r="O57" s="15" t="s">
        <v>140</v>
      </c>
      <c r="P57" s="13">
        <v>3.7848999999999999</v>
      </c>
      <c r="Q57" s="13">
        <v>0</v>
      </c>
      <c r="R57" s="20">
        <v>212</v>
      </c>
      <c r="S57" s="20">
        <v>5661</v>
      </c>
      <c r="T57" s="13" t="s">
        <v>141</v>
      </c>
      <c r="U57" s="13" t="s">
        <v>142</v>
      </c>
      <c r="V57" s="14">
        <v>46108.084421296298</v>
      </c>
      <c r="Y57" t="s">
        <v>197</v>
      </c>
      <c r="Z57">
        <v>25</v>
      </c>
      <c r="AA57">
        <v>332</v>
      </c>
      <c r="AB57" s="15">
        <v>191.3</v>
      </c>
      <c r="AC57" s="15">
        <v>191.3</v>
      </c>
      <c r="AD57">
        <v>3</v>
      </c>
      <c r="AE57">
        <v>1</v>
      </c>
      <c r="AF57" s="20">
        <v>498</v>
      </c>
      <c r="AG57" s="20">
        <v>18.600000000000001</v>
      </c>
      <c r="AI57" s="22">
        <f t="shared" ref="AI57:AI65" si="5">(AC57-N57)/AC57</f>
        <v>-0.40372451646628338</v>
      </c>
      <c r="AJ57" s="22">
        <f t="shared" ref="AJ57:AJ65" si="6">(AC57-O57)/AC57</f>
        <v>-0.4568536330371144</v>
      </c>
      <c r="AK57" s="20">
        <f t="shared" ref="AK57:AK65" si="7">R57/AE57</f>
        <v>212</v>
      </c>
      <c r="AL57" s="20">
        <f t="shared" ref="AL57:AL65" si="8">S57/AF57</f>
        <v>11.367469879518072</v>
      </c>
      <c r="AM57" s="21">
        <f t="shared" ref="AM57:AM65" si="9">M57/AG57</f>
        <v>193.83189784946234</v>
      </c>
    </row>
    <row r="58" spans="1:48" x14ac:dyDescent="0.3">
      <c r="A58" t="s">
        <v>22</v>
      </c>
      <c r="B58" t="s">
        <v>143</v>
      </c>
      <c r="C58">
        <v>0</v>
      </c>
      <c r="D58">
        <v>0</v>
      </c>
      <c r="E58">
        <v>10</v>
      </c>
      <c r="F58">
        <v>25</v>
      </c>
      <c r="G58">
        <v>27</v>
      </c>
      <c r="H58">
        <v>3</v>
      </c>
      <c r="I58">
        <v>200</v>
      </c>
      <c r="J58">
        <v>0</v>
      </c>
      <c r="K58" t="s">
        <v>24</v>
      </c>
      <c r="L58">
        <v>1201.3277</v>
      </c>
      <c r="M58" s="23">
        <v>3647.1527000000001</v>
      </c>
      <c r="N58" s="15" t="s">
        <v>144</v>
      </c>
      <c r="O58" s="15" t="s">
        <v>145</v>
      </c>
      <c r="P58">
        <v>12.990600000000001</v>
      </c>
      <c r="Q58">
        <v>0</v>
      </c>
      <c r="R58" s="20">
        <v>165</v>
      </c>
      <c r="S58" s="20">
        <v>5613</v>
      </c>
      <c r="T58" t="s">
        <v>146</v>
      </c>
      <c r="U58" t="s">
        <v>147</v>
      </c>
      <c r="V58" s="1">
        <v>46108.140532407408</v>
      </c>
      <c r="Y58" t="s">
        <v>198</v>
      </c>
      <c r="Z58">
        <v>25</v>
      </c>
      <c r="AA58">
        <v>473</v>
      </c>
      <c r="AB58" s="15">
        <v>190.3</v>
      </c>
      <c r="AC58" s="15">
        <v>190.3</v>
      </c>
      <c r="AD58">
        <v>3</v>
      </c>
      <c r="AE58">
        <v>1</v>
      </c>
      <c r="AF58" s="20">
        <v>534</v>
      </c>
      <c r="AG58" s="20">
        <v>79.7</v>
      </c>
      <c r="AI58" s="22">
        <f t="shared" si="5"/>
        <v>-0.41278560168155526</v>
      </c>
      <c r="AJ58" s="22">
        <f t="shared" si="6"/>
        <v>-0.59631581713084603</v>
      </c>
      <c r="AK58" s="20">
        <f t="shared" si="7"/>
        <v>165</v>
      </c>
      <c r="AL58" s="20">
        <f t="shared" si="8"/>
        <v>10.511235955056179</v>
      </c>
      <c r="AM58" s="21">
        <f t="shared" si="9"/>
        <v>45.761012547051443</v>
      </c>
    </row>
    <row r="59" spans="1:48" x14ac:dyDescent="0.3">
      <c r="A59" t="s">
        <v>22</v>
      </c>
      <c r="B59" t="s">
        <v>148</v>
      </c>
      <c r="C59">
        <v>0</v>
      </c>
      <c r="D59">
        <v>0</v>
      </c>
      <c r="E59">
        <v>10</v>
      </c>
      <c r="F59">
        <v>25</v>
      </c>
      <c r="G59">
        <v>27</v>
      </c>
      <c r="H59">
        <v>3</v>
      </c>
      <c r="I59">
        <v>200</v>
      </c>
      <c r="J59">
        <v>0</v>
      </c>
      <c r="K59" t="s">
        <v>24</v>
      </c>
      <c r="L59">
        <v>1202.2618</v>
      </c>
      <c r="M59" s="23">
        <v>3715.3123999999998</v>
      </c>
      <c r="N59" s="15" t="s">
        <v>139</v>
      </c>
      <c r="O59" s="15" t="s">
        <v>149</v>
      </c>
      <c r="P59">
        <v>3.2025999999999999</v>
      </c>
      <c r="Q59">
        <v>0</v>
      </c>
      <c r="R59" s="20">
        <v>40</v>
      </c>
      <c r="S59" s="20">
        <v>5499</v>
      </c>
      <c r="T59" t="s">
        <v>150</v>
      </c>
      <c r="U59" t="s">
        <v>151</v>
      </c>
      <c r="V59" s="1">
        <v>46108.197453703702</v>
      </c>
      <c r="Y59" t="s">
        <v>199</v>
      </c>
      <c r="Z59">
        <v>25</v>
      </c>
      <c r="AA59">
        <v>569</v>
      </c>
      <c r="AB59" s="15">
        <v>190.3</v>
      </c>
      <c r="AC59" s="15">
        <v>190.3</v>
      </c>
      <c r="AD59">
        <v>3</v>
      </c>
      <c r="AE59">
        <v>1</v>
      </c>
      <c r="AF59" s="20">
        <v>447</v>
      </c>
      <c r="AG59" s="20">
        <v>134.69999999999999</v>
      </c>
      <c r="AI59" s="22">
        <f t="shared" si="5"/>
        <v>-0.41110089332632693</v>
      </c>
      <c r="AJ59" s="22">
        <f t="shared" si="6"/>
        <v>-0.45629374671571193</v>
      </c>
      <c r="AK59" s="20">
        <f t="shared" si="7"/>
        <v>40</v>
      </c>
      <c r="AL59" s="20">
        <f t="shared" si="8"/>
        <v>12.302013422818792</v>
      </c>
      <c r="AM59" s="21">
        <f t="shared" si="9"/>
        <v>27.582126206384558</v>
      </c>
    </row>
    <row r="60" spans="1:48" x14ac:dyDescent="0.3">
      <c r="A60" t="s">
        <v>22</v>
      </c>
      <c r="B60" t="s">
        <v>152</v>
      </c>
      <c r="C60">
        <v>0</v>
      </c>
      <c r="D60">
        <v>0</v>
      </c>
      <c r="E60">
        <v>10</v>
      </c>
      <c r="F60">
        <v>25</v>
      </c>
      <c r="G60">
        <v>27</v>
      </c>
      <c r="H60">
        <v>3</v>
      </c>
      <c r="I60">
        <v>200</v>
      </c>
      <c r="J60">
        <v>0</v>
      </c>
      <c r="K60" t="s">
        <v>24</v>
      </c>
      <c r="L60">
        <v>1202.3225</v>
      </c>
      <c r="M60" s="23">
        <v>3622.8786</v>
      </c>
      <c r="N60" s="15" t="s">
        <v>153</v>
      </c>
      <c r="O60" s="15" t="s">
        <v>154</v>
      </c>
      <c r="P60">
        <v>8.5396999999999998</v>
      </c>
      <c r="Q60">
        <v>0</v>
      </c>
      <c r="R60" s="20">
        <v>727</v>
      </c>
      <c r="S60" s="20">
        <v>6333</v>
      </c>
      <c r="T60" t="s">
        <v>155</v>
      </c>
      <c r="U60" t="s">
        <v>156</v>
      </c>
      <c r="V60" s="1">
        <v>46108.253298611111</v>
      </c>
      <c r="Y60" s="2" t="s">
        <v>200</v>
      </c>
      <c r="Z60" s="2">
        <v>25</v>
      </c>
      <c r="AA60" s="2">
        <v>604</v>
      </c>
      <c r="AB60" s="15">
        <v>186.9</v>
      </c>
      <c r="AC60" s="15">
        <v>186.9</v>
      </c>
      <c r="AD60" s="2">
        <v>3</v>
      </c>
      <c r="AE60" s="2">
        <v>1</v>
      </c>
      <c r="AF60" s="20">
        <v>485</v>
      </c>
      <c r="AG60" s="20">
        <v>223.9</v>
      </c>
      <c r="AI60" s="22">
        <f t="shared" si="5"/>
        <v>-0.43710379882289985</v>
      </c>
      <c r="AJ60" s="22">
        <f t="shared" si="6"/>
        <v>-0.55982771535580511</v>
      </c>
      <c r="AK60" s="20">
        <f t="shared" si="7"/>
        <v>727</v>
      </c>
      <c r="AL60" s="20">
        <f t="shared" si="8"/>
        <v>13.057731958762886</v>
      </c>
      <c r="AM60" s="21">
        <f t="shared" si="9"/>
        <v>16.180788744975434</v>
      </c>
    </row>
    <row r="61" spans="1:48" x14ac:dyDescent="0.3">
      <c r="A61" t="s">
        <v>22</v>
      </c>
      <c r="B61" t="s">
        <v>157</v>
      </c>
      <c r="C61">
        <v>0</v>
      </c>
      <c r="D61">
        <v>0</v>
      </c>
      <c r="E61">
        <v>10</v>
      </c>
      <c r="F61">
        <v>25</v>
      </c>
      <c r="G61">
        <v>27</v>
      </c>
      <c r="H61">
        <v>3</v>
      </c>
      <c r="I61">
        <v>200</v>
      </c>
      <c r="J61">
        <v>0</v>
      </c>
      <c r="K61" t="s">
        <v>24</v>
      </c>
      <c r="L61">
        <v>326.66539999999998</v>
      </c>
      <c r="M61" s="23">
        <v>3600.2022000000002</v>
      </c>
      <c r="N61" s="15" t="s">
        <v>139</v>
      </c>
      <c r="O61" s="15" t="s">
        <v>158</v>
      </c>
      <c r="P61">
        <v>4.8151000000000002</v>
      </c>
      <c r="Q61">
        <v>0</v>
      </c>
      <c r="R61" s="20">
        <v>252</v>
      </c>
      <c r="S61" s="20">
        <v>4818</v>
      </c>
      <c r="T61" t="s">
        <v>159</v>
      </c>
      <c r="U61" t="s">
        <v>160</v>
      </c>
      <c r="V61" s="1">
        <v>46108.298750000002</v>
      </c>
      <c r="Y61" t="s">
        <v>201</v>
      </c>
      <c r="Z61">
        <v>25</v>
      </c>
      <c r="AA61">
        <v>357</v>
      </c>
      <c r="AB61" s="15">
        <v>191.3</v>
      </c>
      <c r="AC61" s="15">
        <v>191.3</v>
      </c>
      <c r="AD61">
        <v>3</v>
      </c>
      <c r="AE61">
        <v>1</v>
      </c>
      <c r="AF61" s="20">
        <v>531</v>
      </c>
      <c r="AG61" s="20">
        <v>25.6</v>
      </c>
      <c r="AI61" s="22">
        <f t="shared" si="5"/>
        <v>-0.40372451646628338</v>
      </c>
      <c r="AJ61" s="22">
        <f t="shared" si="6"/>
        <v>-0.47131625718766335</v>
      </c>
      <c r="AK61" s="20">
        <f t="shared" si="7"/>
        <v>252</v>
      </c>
      <c r="AL61" s="20">
        <f t="shared" si="8"/>
        <v>9.0734463276836159</v>
      </c>
      <c r="AM61" s="21">
        <f t="shared" si="9"/>
        <v>140.63289843749999</v>
      </c>
    </row>
    <row r="62" spans="1:48" x14ac:dyDescent="0.3">
      <c r="A62" t="s">
        <v>22</v>
      </c>
      <c r="B62" t="s">
        <v>161</v>
      </c>
      <c r="C62">
        <v>0</v>
      </c>
      <c r="D62">
        <v>0</v>
      </c>
      <c r="E62">
        <v>10</v>
      </c>
      <c r="F62">
        <v>25</v>
      </c>
      <c r="G62">
        <v>27</v>
      </c>
      <c r="H62">
        <v>3</v>
      </c>
      <c r="I62">
        <v>200</v>
      </c>
      <c r="J62">
        <v>0</v>
      </c>
      <c r="K62" t="s">
        <v>24</v>
      </c>
      <c r="L62">
        <v>1202.2047</v>
      </c>
      <c r="M62" s="23">
        <v>3616.8991000000001</v>
      </c>
      <c r="N62" s="15" t="s">
        <v>162</v>
      </c>
      <c r="O62" s="15" t="s">
        <v>163</v>
      </c>
      <c r="P62">
        <v>4.4718999999999998</v>
      </c>
      <c r="Q62">
        <v>0</v>
      </c>
      <c r="R62" s="20">
        <v>51</v>
      </c>
      <c r="S62" s="20">
        <v>1425</v>
      </c>
      <c r="T62" t="s">
        <v>164</v>
      </c>
      <c r="U62" t="s">
        <v>165</v>
      </c>
      <c r="V62" s="1">
        <v>46108.354525462964</v>
      </c>
      <c r="Y62" t="s">
        <v>202</v>
      </c>
      <c r="Z62">
        <v>25</v>
      </c>
      <c r="AA62">
        <v>336</v>
      </c>
      <c r="AB62" s="15">
        <v>191.3</v>
      </c>
      <c r="AC62" s="15">
        <v>191.3</v>
      </c>
      <c r="AD62">
        <v>3</v>
      </c>
      <c r="AE62">
        <v>1</v>
      </c>
      <c r="AF62" s="20">
        <v>447</v>
      </c>
      <c r="AG62" s="20">
        <v>20.7</v>
      </c>
      <c r="AI62" s="22">
        <f t="shared" si="5"/>
        <v>-0.39346366962885504</v>
      </c>
      <c r="AJ62" s="22">
        <f t="shared" si="6"/>
        <v>-0.45577783585990578</v>
      </c>
      <c r="AK62" s="20">
        <f t="shared" si="7"/>
        <v>51</v>
      </c>
      <c r="AL62" s="20">
        <f t="shared" si="8"/>
        <v>3.1879194630872485</v>
      </c>
      <c r="AM62" s="21">
        <f t="shared" si="9"/>
        <v>174.72942512077296</v>
      </c>
    </row>
    <row r="63" spans="1:48" x14ac:dyDescent="0.3">
      <c r="A63" t="s">
        <v>22</v>
      </c>
      <c r="B63" t="s">
        <v>166</v>
      </c>
      <c r="C63">
        <v>0</v>
      </c>
      <c r="D63">
        <v>0</v>
      </c>
      <c r="E63">
        <v>10</v>
      </c>
      <c r="F63">
        <v>25</v>
      </c>
      <c r="G63">
        <v>27</v>
      </c>
      <c r="H63">
        <v>3</v>
      </c>
      <c r="I63">
        <v>200</v>
      </c>
      <c r="J63">
        <v>0</v>
      </c>
      <c r="K63" t="s">
        <v>24</v>
      </c>
      <c r="L63">
        <v>1203.0579</v>
      </c>
      <c r="M63" s="23">
        <v>3632.0882999999999</v>
      </c>
      <c r="N63" s="15" t="s">
        <v>167</v>
      </c>
      <c r="O63" s="15" t="s">
        <v>168</v>
      </c>
      <c r="P63">
        <v>0.78559999999999997</v>
      </c>
      <c r="Q63">
        <v>0</v>
      </c>
      <c r="R63" s="20">
        <v>59</v>
      </c>
      <c r="S63" s="20">
        <v>2862</v>
      </c>
      <c r="T63" t="s">
        <v>169</v>
      </c>
      <c r="U63" t="s">
        <v>170</v>
      </c>
      <c r="V63" s="1">
        <v>46108.410486111112</v>
      </c>
      <c r="Y63" t="s">
        <v>203</v>
      </c>
      <c r="Z63">
        <v>25</v>
      </c>
      <c r="AA63">
        <v>377</v>
      </c>
      <c r="AB63" s="15">
        <v>191.3</v>
      </c>
      <c r="AC63" s="15">
        <v>191.3</v>
      </c>
      <c r="AD63">
        <v>3</v>
      </c>
      <c r="AE63">
        <v>1</v>
      </c>
      <c r="AF63" s="20">
        <v>514</v>
      </c>
      <c r="AG63" s="20">
        <v>31.7</v>
      </c>
      <c r="AI63" s="22">
        <f t="shared" si="5"/>
        <v>-0.38333455305802383</v>
      </c>
      <c r="AJ63" s="22">
        <f t="shared" si="6"/>
        <v>-0.39420177731312073</v>
      </c>
      <c r="AK63" s="20">
        <f t="shared" si="7"/>
        <v>59</v>
      </c>
      <c r="AL63" s="20">
        <f t="shared" si="8"/>
        <v>5.5680933852140075</v>
      </c>
      <c r="AM63" s="21">
        <f t="shared" si="9"/>
        <v>114.57691798107255</v>
      </c>
    </row>
    <row r="64" spans="1:48" x14ac:dyDescent="0.3">
      <c r="A64" t="s">
        <v>22</v>
      </c>
      <c r="B64" t="s">
        <v>171</v>
      </c>
      <c r="C64">
        <v>0</v>
      </c>
      <c r="D64">
        <v>0</v>
      </c>
      <c r="E64">
        <v>10</v>
      </c>
      <c r="F64">
        <v>25</v>
      </c>
      <c r="G64">
        <v>27</v>
      </c>
      <c r="H64">
        <v>3</v>
      </c>
      <c r="I64">
        <v>200</v>
      </c>
      <c r="J64">
        <v>0</v>
      </c>
      <c r="K64" t="s">
        <v>24</v>
      </c>
      <c r="L64">
        <v>1202.6677</v>
      </c>
      <c r="M64" s="23">
        <v>3738.8139999999999</v>
      </c>
      <c r="N64" s="15" t="s">
        <v>172</v>
      </c>
      <c r="O64" s="15" t="s">
        <v>172</v>
      </c>
      <c r="P64">
        <v>0</v>
      </c>
      <c r="Q64">
        <v>1</v>
      </c>
      <c r="R64" s="20">
        <v>136</v>
      </c>
      <c r="S64" s="20">
        <v>2850</v>
      </c>
      <c r="T64" t="s">
        <v>173</v>
      </c>
      <c r="U64" t="s">
        <v>174</v>
      </c>
      <c r="V64" s="1">
        <v>46108.467685185184</v>
      </c>
      <c r="Y64" t="s">
        <v>204</v>
      </c>
      <c r="Z64">
        <v>25</v>
      </c>
      <c r="AA64">
        <v>431</v>
      </c>
      <c r="AB64" s="15">
        <v>191.3</v>
      </c>
      <c r="AC64" s="15">
        <v>191.3</v>
      </c>
      <c r="AD64">
        <v>3</v>
      </c>
      <c r="AE64">
        <v>1</v>
      </c>
      <c r="AF64" s="20">
        <v>513</v>
      </c>
      <c r="AG64" s="20">
        <v>43.1</v>
      </c>
      <c r="AI64" s="22">
        <f t="shared" si="5"/>
        <v>-0.38949137480397283</v>
      </c>
      <c r="AJ64" s="22">
        <f t="shared" si="6"/>
        <v>-0.38949137480397283</v>
      </c>
      <c r="AK64" s="20">
        <f t="shared" si="7"/>
        <v>136</v>
      </c>
      <c r="AL64" s="20">
        <f t="shared" si="8"/>
        <v>5.5555555555555554</v>
      </c>
      <c r="AM64" s="21">
        <f t="shared" si="9"/>
        <v>86.747424593967509</v>
      </c>
    </row>
    <row r="65" spans="1:39" x14ac:dyDescent="0.3">
      <c r="V65" s="1"/>
      <c r="Y65" t="s">
        <v>205</v>
      </c>
      <c r="Z65">
        <v>25</v>
      </c>
      <c r="AA65">
        <v>482</v>
      </c>
      <c r="AB65" s="15">
        <v>189.4</v>
      </c>
      <c r="AC65" s="15">
        <v>191.3</v>
      </c>
      <c r="AD65">
        <v>3</v>
      </c>
      <c r="AE65">
        <v>3</v>
      </c>
      <c r="AF65" s="20">
        <v>1747</v>
      </c>
      <c r="AG65" s="20">
        <v>585.4</v>
      </c>
      <c r="AI65" s="22">
        <f t="shared" si="5"/>
        <v>1</v>
      </c>
      <c r="AJ65" s="22">
        <f t="shared" si="6"/>
        <v>1</v>
      </c>
      <c r="AK65" s="20">
        <f t="shared" si="7"/>
        <v>0</v>
      </c>
      <c r="AL65" s="20">
        <f t="shared" si="8"/>
        <v>0</v>
      </c>
      <c r="AM65" s="21">
        <f t="shared" si="9"/>
        <v>0</v>
      </c>
    </row>
    <row r="66" spans="1:39" x14ac:dyDescent="0.3">
      <c r="B66" t="s">
        <v>220</v>
      </c>
      <c r="V66" s="1"/>
    </row>
    <row r="67" spans="1:39" x14ac:dyDescent="0.3">
      <c r="A67" t="s">
        <v>22</v>
      </c>
      <c r="B67" t="s">
        <v>221</v>
      </c>
      <c r="C67">
        <v>0</v>
      </c>
      <c r="D67">
        <v>0</v>
      </c>
      <c r="E67">
        <v>10</v>
      </c>
      <c r="F67">
        <v>25</v>
      </c>
      <c r="G67">
        <v>27</v>
      </c>
      <c r="H67">
        <v>3</v>
      </c>
      <c r="I67">
        <v>200</v>
      </c>
      <c r="J67">
        <v>0</v>
      </c>
      <c r="K67" t="s">
        <v>24</v>
      </c>
      <c r="L67">
        <v>0.2661</v>
      </c>
      <c r="M67" s="23">
        <v>108.8039</v>
      </c>
      <c r="N67" s="15">
        <v>191.81360000000001</v>
      </c>
      <c r="O67" s="15">
        <v>191.81360000000001</v>
      </c>
      <c r="P67">
        <v>0</v>
      </c>
      <c r="Q67">
        <v>1</v>
      </c>
      <c r="R67" s="20">
        <v>1</v>
      </c>
      <c r="S67" s="20">
        <v>975</v>
      </c>
      <c r="T67" t="s">
        <v>25</v>
      </c>
      <c r="U67" t="s">
        <v>50</v>
      </c>
      <c r="V67" s="1">
        <v>46113.821712962963</v>
      </c>
    </row>
    <row r="68" spans="1:39" x14ac:dyDescent="0.3">
      <c r="A68" t="s">
        <v>22</v>
      </c>
      <c r="B68" t="s">
        <v>222</v>
      </c>
      <c r="C68">
        <v>0</v>
      </c>
      <c r="D68">
        <v>0</v>
      </c>
      <c r="E68">
        <v>10</v>
      </c>
      <c r="F68">
        <v>25</v>
      </c>
      <c r="G68">
        <v>27</v>
      </c>
      <c r="H68">
        <v>3</v>
      </c>
      <c r="I68">
        <v>200</v>
      </c>
      <c r="J68">
        <v>0</v>
      </c>
      <c r="K68" t="s">
        <v>24</v>
      </c>
      <c r="L68">
        <v>19.594999999999999</v>
      </c>
      <c r="M68" s="23">
        <v>828.12469999999996</v>
      </c>
      <c r="N68" s="15">
        <v>190.73759999999999</v>
      </c>
      <c r="O68" s="15">
        <v>190.73759999999999</v>
      </c>
      <c r="P68">
        <v>0</v>
      </c>
      <c r="Q68">
        <v>1</v>
      </c>
      <c r="R68" s="20">
        <v>1</v>
      </c>
      <c r="S68" s="20">
        <v>2391</v>
      </c>
      <c r="T68" t="s">
        <v>47</v>
      </c>
      <c r="U68" t="s">
        <v>55</v>
      </c>
      <c r="V68" s="1">
        <v>46113.831516203703</v>
      </c>
    </row>
    <row r="69" spans="1:39" x14ac:dyDescent="0.3">
      <c r="A69" t="s">
        <v>22</v>
      </c>
      <c r="B69" t="s">
        <v>223</v>
      </c>
      <c r="C69">
        <v>0</v>
      </c>
      <c r="D69">
        <v>0</v>
      </c>
      <c r="E69">
        <v>10</v>
      </c>
      <c r="F69">
        <v>25</v>
      </c>
      <c r="G69">
        <v>27</v>
      </c>
      <c r="H69">
        <v>3</v>
      </c>
      <c r="I69">
        <v>200</v>
      </c>
      <c r="J69">
        <v>0</v>
      </c>
      <c r="K69" t="s">
        <v>24</v>
      </c>
      <c r="L69">
        <v>1201.4903999999999</v>
      </c>
      <c r="M69" s="23">
        <v>1009.9421</v>
      </c>
      <c r="N69" s="15">
        <v>190.73759999999999</v>
      </c>
      <c r="O69" s="15">
        <v>190.73759999999999</v>
      </c>
      <c r="P69">
        <v>0</v>
      </c>
      <c r="Q69">
        <v>1</v>
      </c>
      <c r="R69" s="20">
        <v>1</v>
      </c>
      <c r="S69" s="20">
        <v>2328</v>
      </c>
      <c r="T69" t="s">
        <v>57</v>
      </c>
      <c r="U69" t="s">
        <v>47</v>
      </c>
      <c r="V69" s="1">
        <v>46113.857118055559</v>
      </c>
    </row>
    <row r="70" spans="1:39" x14ac:dyDescent="0.3">
      <c r="A70" t="s">
        <v>22</v>
      </c>
      <c r="B70" t="s">
        <v>224</v>
      </c>
      <c r="C70">
        <v>0</v>
      </c>
      <c r="D70">
        <v>0</v>
      </c>
      <c r="E70">
        <v>10</v>
      </c>
      <c r="F70">
        <v>25</v>
      </c>
      <c r="G70">
        <v>27</v>
      </c>
      <c r="H70">
        <v>3</v>
      </c>
      <c r="I70">
        <v>200</v>
      </c>
      <c r="J70">
        <v>0</v>
      </c>
      <c r="K70" t="s">
        <v>24</v>
      </c>
      <c r="L70">
        <v>1201.9546</v>
      </c>
      <c r="M70" s="23">
        <v>518.47149999999999</v>
      </c>
      <c r="N70" s="15">
        <v>187.4495</v>
      </c>
      <c r="O70" s="15">
        <v>190.74119999999999</v>
      </c>
      <c r="P70">
        <v>1.7561</v>
      </c>
      <c r="Q70">
        <v>0</v>
      </c>
      <c r="R70" s="20">
        <v>1</v>
      </c>
      <c r="S70" s="20">
        <v>2121</v>
      </c>
      <c r="T70" t="s">
        <v>225</v>
      </c>
      <c r="U70" t="s">
        <v>226</v>
      </c>
      <c r="V70" s="1">
        <v>46113.877025462964</v>
      </c>
    </row>
    <row r="71" spans="1:39" x14ac:dyDescent="0.3">
      <c r="A71" t="s">
        <v>22</v>
      </c>
      <c r="B71" t="s">
        <v>227</v>
      </c>
      <c r="C71">
        <v>0</v>
      </c>
      <c r="D71">
        <v>0</v>
      </c>
      <c r="E71">
        <v>10</v>
      </c>
      <c r="F71">
        <v>25</v>
      </c>
      <c r="G71">
        <v>27</v>
      </c>
      <c r="H71">
        <v>3</v>
      </c>
      <c r="I71">
        <v>200</v>
      </c>
      <c r="J71">
        <v>0</v>
      </c>
      <c r="K71" t="s">
        <v>24</v>
      </c>
      <c r="L71">
        <v>0.61839999999999995</v>
      </c>
      <c r="M71" s="23">
        <v>684.63710000000003</v>
      </c>
      <c r="N71" s="15">
        <v>191.81360000000001</v>
      </c>
      <c r="O71" s="15">
        <v>191.81360000000001</v>
      </c>
      <c r="P71">
        <v>0</v>
      </c>
      <c r="Q71">
        <v>1</v>
      </c>
      <c r="R71" s="20">
        <v>1</v>
      </c>
      <c r="S71" s="20">
        <v>2424</v>
      </c>
      <c r="T71" t="s">
        <v>26</v>
      </c>
      <c r="U71" t="s">
        <v>30</v>
      </c>
      <c r="V71" s="1">
        <v>46113.884965277779</v>
      </c>
    </row>
    <row r="72" spans="1:39" x14ac:dyDescent="0.3">
      <c r="A72" t="s">
        <v>22</v>
      </c>
      <c r="B72" t="s">
        <v>228</v>
      </c>
      <c r="C72">
        <v>0</v>
      </c>
      <c r="D72">
        <v>0</v>
      </c>
      <c r="E72">
        <v>10</v>
      </c>
      <c r="F72">
        <v>25</v>
      </c>
      <c r="G72">
        <v>27</v>
      </c>
      <c r="H72">
        <v>3</v>
      </c>
      <c r="I72">
        <v>200</v>
      </c>
      <c r="J72">
        <v>0</v>
      </c>
      <c r="K72" t="s">
        <v>24</v>
      </c>
      <c r="L72">
        <v>0.30719999999999997</v>
      </c>
      <c r="M72" s="23">
        <v>418.15649999999999</v>
      </c>
      <c r="N72" s="15">
        <v>191.81360000000001</v>
      </c>
      <c r="O72" s="15">
        <v>191.81360000000001</v>
      </c>
      <c r="P72">
        <v>0</v>
      </c>
      <c r="Q72">
        <v>1</v>
      </c>
      <c r="R72" s="20">
        <v>1</v>
      </c>
      <c r="S72" s="20">
        <v>1686</v>
      </c>
      <c r="T72" t="s">
        <v>229</v>
      </c>
      <c r="U72" t="s">
        <v>25</v>
      </c>
      <c r="V72" s="1">
        <v>46113.889803240738</v>
      </c>
    </row>
    <row r="73" spans="1:39" x14ac:dyDescent="0.3">
      <c r="A73" t="s">
        <v>22</v>
      </c>
      <c r="B73" t="s">
        <v>230</v>
      </c>
      <c r="C73">
        <v>0</v>
      </c>
      <c r="D73">
        <v>0</v>
      </c>
      <c r="E73">
        <v>10</v>
      </c>
      <c r="F73">
        <v>25</v>
      </c>
      <c r="G73">
        <v>27</v>
      </c>
      <c r="H73">
        <v>3</v>
      </c>
      <c r="I73">
        <v>200</v>
      </c>
      <c r="J73">
        <v>0</v>
      </c>
      <c r="K73" t="s">
        <v>24</v>
      </c>
      <c r="L73">
        <v>0.61609999999999998</v>
      </c>
      <c r="M73" s="23">
        <v>340.22050000000002</v>
      </c>
      <c r="N73" s="15">
        <v>191.81360000000001</v>
      </c>
      <c r="O73" s="15">
        <v>191.81360000000001</v>
      </c>
      <c r="P73">
        <v>0</v>
      </c>
      <c r="Q73">
        <v>1</v>
      </c>
      <c r="R73" s="20">
        <v>1</v>
      </c>
      <c r="S73" s="20">
        <v>2040</v>
      </c>
      <c r="T73" t="s">
        <v>30</v>
      </c>
      <c r="U73" t="s">
        <v>25</v>
      </c>
      <c r="V73" s="1">
        <v>46113.893750000003</v>
      </c>
    </row>
    <row r="74" spans="1:39" x14ac:dyDescent="0.3">
      <c r="A74" t="s">
        <v>22</v>
      </c>
      <c r="B74" t="s">
        <v>231</v>
      </c>
      <c r="C74">
        <v>0</v>
      </c>
      <c r="D74">
        <v>0</v>
      </c>
      <c r="E74">
        <v>10</v>
      </c>
      <c r="F74">
        <v>25</v>
      </c>
      <c r="G74">
        <v>27</v>
      </c>
      <c r="H74">
        <v>3</v>
      </c>
      <c r="I74">
        <v>200</v>
      </c>
      <c r="J74">
        <v>0</v>
      </c>
      <c r="K74" t="s">
        <v>24</v>
      </c>
      <c r="L74">
        <v>15.055099999999999</v>
      </c>
      <c r="M74" s="23">
        <v>683.34199999999998</v>
      </c>
      <c r="N74" s="15">
        <v>191.81360000000001</v>
      </c>
      <c r="O74" s="15">
        <v>191.81360000000001</v>
      </c>
      <c r="P74">
        <v>0</v>
      </c>
      <c r="Q74">
        <v>1</v>
      </c>
      <c r="R74" s="20">
        <v>1</v>
      </c>
      <c r="S74" s="20">
        <v>2415</v>
      </c>
      <c r="T74" t="s">
        <v>53</v>
      </c>
      <c r="U74" t="s">
        <v>25</v>
      </c>
      <c r="V74" s="1">
        <v>46113.901828703703</v>
      </c>
    </row>
    <row r="75" spans="1:39" x14ac:dyDescent="0.3">
      <c r="A75" t="s">
        <v>22</v>
      </c>
      <c r="B75" t="s">
        <v>232</v>
      </c>
      <c r="C75">
        <v>0</v>
      </c>
      <c r="D75">
        <v>0</v>
      </c>
      <c r="E75">
        <v>10</v>
      </c>
      <c r="F75">
        <v>25</v>
      </c>
      <c r="G75">
        <v>27</v>
      </c>
      <c r="H75">
        <v>3</v>
      </c>
      <c r="I75">
        <v>200</v>
      </c>
      <c r="J75">
        <v>0</v>
      </c>
      <c r="K75" t="s">
        <v>24</v>
      </c>
      <c r="L75">
        <v>1200.9614999999999</v>
      </c>
      <c r="M75" s="23">
        <v>905.86469999999997</v>
      </c>
      <c r="N75" s="15">
        <v>191.81360000000001</v>
      </c>
      <c r="O75" s="15">
        <v>191.81360000000001</v>
      </c>
      <c r="P75">
        <v>0</v>
      </c>
      <c r="Q75">
        <v>1</v>
      </c>
      <c r="R75" s="20">
        <v>1</v>
      </c>
      <c r="S75" s="20">
        <v>2028</v>
      </c>
      <c r="T75" t="s">
        <v>50</v>
      </c>
      <c r="U75" t="s">
        <v>26</v>
      </c>
      <c r="V75" s="1">
        <v>46113.926215277781</v>
      </c>
    </row>
    <row r="77" spans="1:39" x14ac:dyDescent="0.3">
      <c r="A77" s="29" t="s">
        <v>22</v>
      </c>
      <c r="B77" t="s">
        <v>233</v>
      </c>
      <c r="C77">
        <v>0</v>
      </c>
      <c r="D77">
        <v>0</v>
      </c>
      <c r="E77">
        <v>10</v>
      </c>
      <c r="F77">
        <v>25</v>
      </c>
      <c r="G77">
        <v>27</v>
      </c>
      <c r="H77">
        <v>3</v>
      </c>
      <c r="I77">
        <v>200</v>
      </c>
      <c r="J77">
        <v>0</v>
      </c>
      <c r="K77" t="s">
        <v>24</v>
      </c>
      <c r="L77">
        <v>0.2324</v>
      </c>
      <c r="M77" s="23">
        <v>511.30360000000002</v>
      </c>
      <c r="N77" s="15">
        <v>-1</v>
      </c>
      <c r="O77" s="15">
        <v>-1</v>
      </c>
      <c r="R77" s="20">
        <v>0</v>
      </c>
      <c r="S77" s="20">
        <v>0</v>
      </c>
      <c r="T77" t="s">
        <v>126</v>
      </c>
      <c r="U77" t="s">
        <v>61</v>
      </c>
      <c r="V77" s="1">
        <v>46114.52443287037</v>
      </c>
    </row>
    <row r="78" spans="1:39" x14ac:dyDescent="0.3">
      <c r="A78" s="29" t="s">
        <v>22</v>
      </c>
      <c r="B78" t="s">
        <v>234</v>
      </c>
      <c r="C78">
        <v>0</v>
      </c>
      <c r="D78">
        <v>0</v>
      </c>
      <c r="E78">
        <v>10</v>
      </c>
      <c r="F78">
        <v>25</v>
      </c>
      <c r="G78">
        <v>27</v>
      </c>
      <c r="H78">
        <v>3</v>
      </c>
      <c r="I78">
        <v>200</v>
      </c>
      <c r="J78">
        <v>0</v>
      </c>
      <c r="K78" t="s">
        <v>24</v>
      </c>
      <c r="L78">
        <v>236.262</v>
      </c>
      <c r="M78" s="23">
        <v>3653.1543999999999</v>
      </c>
      <c r="N78" s="15">
        <v>-1</v>
      </c>
      <c r="O78" s="15">
        <v>-1</v>
      </c>
      <c r="R78" s="20">
        <v>0</v>
      </c>
      <c r="S78" s="20">
        <v>0</v>
      </c>
      <c r="T78" t="s">
        <v>126</v>
      </c>
      <c r="U78" t="s">
        <v>61</v>
      </c>
      <c r="V78" s="1">
        <v>46114.569444444445</v>
      </c>
    </row>
    <row r="79" spans="1:39" x14ac:dyDescent="0.3">
      <c r="A79" s="29" t="s">
        <v>22</v>
      </c>
      <c r="B79" t="s">
        <v>235</v>
      </c>
      <c r="C79">
        <v>0</v>
      </c>
      <c r="D79">
        <v>0</v>
      </c>
      <c r="E79">
        <v>10</v>
      </c>
      <c r="F79">
        <v>25</v>
      </c>
      <c r="G79">
        <v>27</v>
      </c>
      <c r="H79">
        <v>3</v>
      </c>
      <c r="I79">
        <v>200</v>
      </c>
      <c r="J79">
        <v>0</v>
      </c>
      <c r="K79" t="s">
        <v>24</v>
      </c>
      <c r="L79">
        <v>1201.819</v>
      </c>
      <c r="M79" s="23">
        <v>3600.2653</v>
      </c>
      <c r="N79" s="15">
        <v>-1</v>
      </c>
      <c r="O79" s="15">
        <v>-1</v>
      </c>
      <c r="R79" s="20">
        <v>0</v>
      </c>
      <c r="S79" s="20">
        <v>0</v>
      </c>
      <c r="T79" t="s">
        <v>126</v>
      </c>
      <c r="U79" t="s">
        <v>61</v>
      </c>
      <c r="V79" s="1">
        <v>46114.625023148146</v>
      </c>
    </row>
    <row r="82" spans="5:5" x14ac:dyDescent="0.3">
      <c r="E82" s="15" t="s">
        <v>80</v>
      </c>
    </row>
    <row r="83" spans="5:5" x14ac:dyDescent="0.3">
      <c r="E83" s="15" t="s">
        <v>90</v>
      </c>
    </row>
    <row r="84" spans="5:5" x14ac:dyDescent="0.3">
      <c r="E84" s="15" t="s">
        <v>94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EF293-EC59-45B8-9E29-5C722AE51A15}">
  <dimension ref="A1"/>
  <sheetViews>
    <sheetView zoomScale="55" zoomScaleNormal="55" workbookViewId="0">
      <selection activeCell="P5" sqref="P5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511B7-7436-4E66-B528-47D98085EB71}">
  <dimension ref="A1:V68"/>
  <sheetViews>
    <sheetView zoomScale="40" zoomScaleNormal="40" workbookViewId="0">
      <selection activeCell="T67" sqref="T67"/>
    </sheetView>
  </sheetViews>
  <sheetFormatPr defaultRowHeight="14.4" x14ac:dyDescent="0.3"/>
  <cols>
    <col min="1" max="1" width="30.21875" bestFit="1" customWidth="1"/>
    <col min="2" max="2" width="29.6640625" bestFit="1" customWidth="1"/>
    <col min="3" max="3" width="7.33203125" bestFit="1" customWidth="1"/>
    <col min="4" max="4" width="13.33203125" bestFit="1" customWidth="1"/>
    <col min="5" max="5" width="19.109375" bestFit="1" customWidth="1"/>
    <col min="6" max="6" width="18.109375" bestFit="1" customWidth="1"/>
    <col min="7" max="7" width="10.6640625" bestFit="1" customWidth="1"/>
    <col min="8" max="8" width="10.109375" bestFit="1" customWidth="1"/>
    <col min="9" max="9" width="13.109375" bestFit="1" customWidth="1"/>
    <col min="10" max="10" width="7" bestFit="1" customWidth="1"/>
    <col min="11" max="11" width="13.88671875" bestFit="1" customWidth="1"/>
    <col min="12" max="12" width="14" bestFit="1" customWidth="1"/>
    <col min="13" max="13" width="11.6640625" bestFit="1" customWidth="1"/>
    <col min="14" max="14" width="10.109375" bestFit="1" customWidth="1"/>
    <col min="15" max="15" width="9.109375" bestFit="1" customWidth="1"/>
    <col min="16" max="16" width="9.77734375" bestFit="1" customWidth="1"/>
    <col min="17" max="17" width="12.5546875" bestFit="1" customWidth="1"/>
    <col min="18" max="18" width="9.109375" bestFit="1" customWidth="1"/>
    <col min="19" max="19" width="12.6640625" bestFit="1" customWidth="1"/>
    <col min="20" max="21" width="80.88671875" bestFit="1" customWidth="1"/>
    <col min="22" max="22" width="15.332031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s="12" t="s">
        <v>22</v>
      </c>
      <c r="B2" s="12" t="s">
        <v>23</v>
      </c>
      <c r="C2">
        <v>0</v>
      </c>
      <c r="D2">
        <v>1</v>
      </c>
      <c r="E2">
        <v>10</v>
      </c>
      <c r="F2">
        <v>25</v>
      </c>
      <c r="G2">
        <v>27</v>
      </c>
      <c r="H2">
        <v>3</v>
      </c>
      <c r="I2">
        <v>200</v>
      </c>
      <c r="J2">
        <v>0</v>
      </c>
      <c r="K2" s="12" t="s">
        <v>24</v>
      </c>
      <c r="L2">
        <v>0.2858</v>
      </c>
      <c r="M2">
        <v>205.2841</v>
      </c>
      <c r="N2" s="12" t="s">
        <v>63</v>
      </c>
      <c r="O2" s="12" t="s">
        <v>63</v>
      </c>
      <c r="P2">
        <v>0</v>
      </c>
      <c r="Q2">
        <v>1</v>
      </c>
      <c r="R2">
        <v>1</v>
      </c>
      <c r="S2">
        <v>423</v>
      </c>
      <c r="T2" s="12" t="s">
        <v>25</v>
      </c>
      <c r="U2" s="12" t="s">
        <v>26</v>
      </c>
      <c r="V2" s="1">
        <v>46106.768750000003</v>
      </c>
    </row>
    <row r="3" spans="1:22" x14ac:dyDescent="0.3">
      <c r="A3" s="12" t="s">
        <v>27</v>
      </c>
      <c r="B3" s="12" t="s">
        <v>23</v>
      </c>
      <c r="C3">
        <v>0</v>
      </c>
      <c r="D3">
        <v>1</v>
      </c>
      <c r="E3">
        <v>0</v>
      </c>
      <c r="F3">
        <v>25</v>
      </c>
      <c r="G3">
        <v>27</v>
      </c>
      <c r="H3">
        <v>3</v>
      </c>
      <c r="I3">
        <v>200</v>
      </c>
      <c r="J3">
        <v>0</v>
      </c>
      <c r="K3" s="12" t="s">
        <v>24</v>
      </c>
      <c r="L3">
        <v>0.2858</v>
      </c>
      <c r="M3">
        <v>222.3433</v>
      </c>
      <c r="N3" s="12" t="s">
        <v>63</v>
      </c>
      <c r="O3" s="12" t="s">
        <v>63</v>
      </c>
      <c r="P3">
        <v>0</v>
      </c>
      <c r="Q3">
        <v>1</v>
      </c>
      <c r="R3">
        <v>1</v>
      </c>
      <c r="S3">
        <v>273</v>
      </c>
      <c r="T3" s="12" t="s">
        <v>25</v>
      </c>
      <c r="U3" s="12" t="s">
        <v>25</v>
      </c>
      <c r="V3" s="1">
        <v>46106.776388888888</v>
      </c>
    </row>
    <row r="4" spans="1:22" x14ac:dyDescent="0.3">
      <c r="A4" s="12" t="s">
        <v>28</v>
      </c>
      <c r="B4" s="12" t="s">
        <v>23</v>
      </c>
      <c r="C4">
        <v>0</v>
      </c>
      <c r="D4">
        <v>1</v>
      </c>
      <c r="E4">
        <v>1</v>
      </c>
      <c r="F4">
        <v>25</v>
      </c>
      <c r="G4">
        <v>27</v>
      </c>
      <c r="H4">
        <v>3</v>
      </c>
      <c r="I4">
        <v>200</v>
      </c>
      <c r="J4">
        <v>0</v>
      </c>
      <c r="K4" s="12" t="s">
        <v>24</v>
      </c>
      <c r="L4">
        <v>0.2858</v>
      </c>
      <c r="M4">
        <v>377.93639999999999</v>
      </c>
      <c r="N4" s="12" t="s">
        <v>63</v>
      </c>
      <c r="O4" s="12" t="s">
        <v>63</v>
      </c>
      <c r="P4">
        <v>0</v>
      </c>
      <c r="Q4">
        <v>1</v>
      </c>
      <c r="R4">
        <v>1</v>
      </c>
      <c r="S4">
        <v>393</v>
      </c>
      <c r="T4" s="12" t="s">
        <v>25</v>
      </c>
      <c r="U4" s="12" t="s">
        <v>26</v>
      </c>
      <c r="V4" s="1">
        <v>46106.780555555553</v>
      </c>
    </row>
    <row r="5" spans="1:22" x14ac:dyDescent="0.3">
      <c r="A5" s="12" t="s">
        <v>29</v>
      </c>
      <c r="B5" s="12" t="s">
        <v>23</v>
      </c>
      <c r="C5">
        <v>0</v>
      </c>
      <c r="D5">
        <v>1</v>
      </c>
      <c r="E5">
        <v>2</v>
      </c>
      <c r="F5">
        <v>25</v>
      </c>
      <c r="G5">
        <v>27</v>
      </c>
      <c r="H5">
        <v>3</v>
      </c>
      <c r="I5">
        <v>200</v>
      </c>
      <c r="J5">
        <v>0</v>
      </c>
      <c r="K5" s="12" t="s">
        <v>24</v>
      </c>
      <c r="L5">
        <v>0.2858</v>
      </c>
      <c r="M5">
        <v>539.49019999999996</v>
      </c>
      <c r="N5" s="12" t="s">
        <v>63</v>
      </c>
      <c r="O5" s="12" t="s">
        <v>63</v>
      </c>
      <c r="P5">
        <v>0</v>
      </c>
      <c r="Q5">
        <v>1</v>
      </c>
      <c r="R5">
        <v>1</v>
      </c>
      <c r="S5">
        <v>509</v>
      </c>
      <c r="T5" s="12" t="s">
        <v>25</v>
      </c>
      <c r="U5" s="12" t="s">
        <v>30</v>
      </c>
      <c r="V5" s="1">
        <v>46106.786805555559</v>
      </c>
    </row>
    <row r="6" spans="1:22" x14ac:dyDescent="0.3">
      <c r="A6" s="12" t="s">
        <v>31</v>
      </c>
      <c r="B6" s="12" t="s">
        <v>23</v>
      </c>
      <c r="C6">
        <v>0</v>
      </c>
      <c r="D6">
        <v>1</v>
      </c>
      <c r="E6">
        <v>3</v>
      </c>
      <c r="F6">
        <v>25</v>
      </c>
      <c r="G6">
        <v>27</v>
      </c>
      <c r="H6">
        <v>3</v>
      </c>
      <c r="I6">
        <v>200</v>
      </c>
      <c r="J6">
        <v>0</v>
      </c>
      <c r="K6" s="12" t="s">
        <v>24</v>
      </c>
      <c r="L6">
        <v>0.2858</v>
      </c>
      <c r="M6">
        <v>803.63969999999995</v>
      </c>
      <c r="N6" s="12" t="s">
        <v>63</v>
      </c>
      <c r="O6" s="12" t="s">
        <v>64</v>
      </c>
      <c r="P6">
        <v>10.3049</v>
      </c>
      <c r="Q6">
        <v>0</v>
      </c>
      <c r="R6">
        <v>45</v>
      </c>
      <c r="S6">
        <v>1050</v>
      </c>
      <c r="T6" s="12" t="s">
        <v>25</v>
      </c>
      <c r="U6" s="12" t="s">
        <v>32</v>
      </c>
      <c r="V6" s="1">
        <v>46106.796527777777</v>
      </c>
    </row>
    <row r="7" spans="1:22" x14ac:dyDescent="0.3">
      <c r="A7" s="12" t="s">
        <v>31</v>
      </c>
      <c r="B7" s="12" t="s">
        <v>23</v>
      </c>
      <c r="C7">
        <v>0</v>
      </c>
      <c r="D7">
        <v>1</v>
      </c>
      <c r="E7">
        <v>22</v>
      </c>
      <c r="F7">
        <v>25</v>
      </c>
      <c r="G7">
        <v>27</v>
      </c>
      <c r="H7">
        <v>3</v>
      </c>
      <c r="I7">
        <v>200</v>
      </c>
      <c r="J7">
        <v>0</v>
      </c>
      <c r="K7" s="12" t="s">
        <v>24</v>
      </c>
      <c r="L7">
        <v>0.2858</v>
      </c>
      <c r="M7">
        <v>3365</v>
      </c>
      <c r="N7" s="12" t="s">
        <v>63</v>
      </c>
      <c r="O7" s="12" t="s">
        <v>63</v>
      </c>
      <c r="P7">
        <v>0</v>
      </c>
      <c r="Q7">
        <v>0</v>
      </c>
      <c r="R7">
        <v>1</v>
      </c>
      <c r="S7">
        <v>354</v>
      </c>
      <c r="T7" s="12" t="s">
        <v>25</v>
      </c>
      <c r="U7" s="12" t="s">
        <v>32</v>
      </c>
      <c r="V7" s="1">
        <v>46106.796527777777</v>
      </c>
    </row>
    <row r="8" spans="1:22" x14ac:dyDescent="0.3">
      <c r="A8" s="12" t="s">
        <v>33</v>
      </c>
      <c r="B8" s="12" t="s">
        <v>34</v>
      </c>
      <c r="C8">
        <v>1</v>
      </c>
      <c r="D8">
        <v>0</v>
      </c>
      <c r="E8">
        <v>10</v>
      </c>
      <c r="F8">
        <v>25</v>
      </c>
      <c r="G8">
        <v>27</v>
      </c>
      <c r="H8">
        <v>3</v>
      </c>
      <c r="I8">
        <v>200</v>
      </c>
      <c r="J8">
        <v>0</v>
      </c>
      <c r="K8" s="12" t="s">
        <v>24</v>
      </c>
      <c r="L8">
        <v>1203.0710999999999</v>
      </c>
      <c r="M8">
        <v>3766.1898999999999</v>
      </c>
      <c r="N8" s="12" t="s">
        <v>65</v>
      </c>
      <c r="O8" s="12" t="s">
        <v>66</v>
      </c>
      <c r="P8">
        <v>0.6673</v>
      </c>
      <c r="Q8">
        <v>0</v>
      </c>
      <c r="R8">
        <v>4</v>
      </c>
      <c r="S8">
        <v>742</v>
      </c>
      <c r="T8" s="12" t="s">
        <v>35</v>
      </c>
      <c r="U8" s="12" t="s">
        <v>36</v>
      </c>
      <c r="V8" s="1">
        <v>46106.853472222225</v>
      </c>
    </row>
    <row r="9" spans="1:22" x14ac:dyDescent="0.3">
      <c r="A9" s="12" t="s">
        <v>37</v>
      </c>
      <c r="B9" s="12" t="s">
        <v>34</v>
      </c>
      <c r="C9">
        <v>1</v>
      </c>
      <c r="D9">
        <v>0</v>
      </c>
      <c r="E9">
        <v>0</v>
      </c>
      <c r="F9">
        <v>25</v>
      </c>
      <c r="G9">
        <v>27</v>
      </c>
      <c r="H9">
        <v>3</v>
      </c>
      <c r="I9">
        <v>200</v>
      </c>
      <c r="J9">
        <v>0</v>
      </c>
      <c r="K9" s="12" t="s">
        <v>24</v>
      </c>
      <c r="L9">
        <v>1203.0710999999999</v>
      </c>
      <c r="M9">
        <v>4701.9394000000002</v>
      </c>
      <c r="N9" s="12" t="s">
        <v>65</v>
      </c>
      <c r="O9" s="12" t="s">
        <v>67</v>
      </c>
      <c r="P9">
        <v>16.671500000000002</v>
      </c>
      <c r="Q9">
        <v>0</v>
      </c>
      <c r="R9">
        <v>7</v>
      </c>
      <c r="S9">
        <v>1071</v>
      </c>
      <c r="T9" s="12" t="s">
        <v>35</v>
      </c>
      <c r="U9" s="12" t="s">
        <v>38</v>
      </c>
      <c r="V9" s="1">
        <v>46106.908333333333</v>
      </c>
    </row>
    <row r="10" spans="1:22" x14ac:dyDescent="0.3">
      <c r="A10" s="12" t="s">
        <v>39</v>
      </c>
      <c r="B10" s="12" t="s">
        <v>34</v>
      </c>
      <c r="C10">
        <v>1</v>
      </c>
      <c r="D10">
        <v>0</v>
      </c>
      <c r="E10">
        <v>1</v>
      </c>
      <c r="F10">
        <v>25</v>
      </c>
      <c r="G10">
        <v>27</v>
      </c>
      <c r="H10">
        <v>3</v>
      </c>
      <c r="I10">
        <v>200</v>
      </c>
      <c r="J10">
        <v>0</v>
      </c>
      <c r="K10" s="12" t="s">
        <v>24</v>
      </c>
      <c r="L10">
        <v>1203.0710999999999</v>
      </c>
      <c r="M10">
        <v>3618.8218000000002</v>
      </c>
      <c r="N10" s="12" t="s">
        <v>65</v>
      </c>
      <c r="O10" s="12" t="s">
        <v>68</v>
      </c>
      <c r="P10">
        <v>8.6516000000000002</v>
      </c>
      <c r="Q10">
        <v>0</v>
      </c>
      <c r="R10">
        <v>30</v>
      </c>
      <c r="S10">
        <v>1519</v>
      </c>
      <c r="T10" s="12" t="s">
        <v>35</v>
      </c>
      <c r="U10" s="12" t="s">
        <v>40</v>
      </c>
      <c r="V10" s="1">
        <v>46106.95</v>
      </c>
    </row>
    <row r="11" spans="1:22" x14ac:dyDescent="0.3">
      <c r="A11" s="12" t="s">
        <v>41</v>
      </c>
      <c r="B11" s="12" t="s">
        <v>34</v>
      </c>
      <c r="C11">
        <v>1</v>
      </c>
      <c r="D11">
        <v>0</v>
      </c>
      <c r="E11">
        <v>2</v>
      </c>
      <c r="F11">
        <v>25</v>
      </c>
      <c r="G11">
        <v>27</v>
      </c>
      <c r="H11">
        <v>3</v>
      </c>
      <c r="I11">
        <v>200</v>
      </c>
      <c r="J11">
        <v>0</v>
      </c>
      <c r="K11" s="12" t="s">
        <v>24</v>
      </c>
      <c r="L11">
        <v>1203.0710999999999</v>
      </c>
      <c r="M11">
        <v>4049.2914000000001</v>
      </c>
      <c r="N11" s="12" t="s">
        <v>65</v>
      </c>
      <c r="O11" s="12" t="s">
        <v>69</v>
      </c>
      <c r="P11">
        <v>17.137499999999999</v>
      </c>
      <c r="Q11">
        <v>0</v>
      </c>
      <c r="R11">
        <v>36</v>
      </c>
      <c r="S11">
        <v>2106</v>
      </c>
      <c r="T11" s="12" t="s">
        <v>35</v>
      </c>
      <c r="U11" s="12" t="s">
        <v>42</v>
      </c>
      <c r="V11" s="1">
        <v>46106.99722222222</v>
      </c>
    </row>
    <row r="12" spans="1:22" x14ac:dyDescent="0.3">
      <c r="A12" s="12" t="s">
        <v>43</v>
      </c>
      <c r="B12" s="12" t="s">
        <v>34</v>
      </c>
      <c r="C12">
        <v>1</v>
      </c>
      <c r="D12">
        <v>0</v>
      </c>
      <c r="E12">
        <v>3</v>
      </c>
      <c r="F12">
        <v>25</v>
      </c>
      <c r="G12">
        <v>27</v>
      </c>
      <c r="H12">
        <v>3</v>
      </c>
      <c r="I12">
        <v>200</v>
      </c>
      <c r="J12">
        <v>0</v>
      </c>
      <c r="K12" s="12" t="s">
        <v>24</v>
      </c>
      <c r="L12">
        <v>1203.0710999999999</v>
      </c>
      <c r="M12">
        <v>1269.6313</v>
      </c>
      <c r="N12" s="12" t="s">
        <v>65</v>
      </c>
      <c r="O12" s="12" t="s">
        <v>70</v>
      </c>
      <c r="P12">
        <v>0.50670000000000004</v>
      </c>
      <c r="Q12">
        <v>0</v>
      </c>
      <c r="R12">
        <v>43</v>
      </c>
      <c r="S12">
        <v>1855</v>
      </c>
      <c r="T12" s="12" t="s">
        <v>35</v>
      </c>
      <c r="U12" s="12" t="s">
        <v>44</v>
      </c>
      <c r="V12" s="1">
        <v>46107.011805555558</v>
      </c>
    </row>
    <row r="13" spans="1:22" x14ac:dyDescent="0.3">
      <c r="A13" s="12" t="s">
        <v>22</v>
      </c>
      <c r="B13" s="12" t="s">
        <v>45</v>
      </c>
      <c r="C13">
        <v>0</v>
      </c>
      <c r="D13">
        <v>0</v>
      </c>
      <c r="E13">
        <v>10</v>
      </c>
      <c r="F13">
        <v>25</v>
      </c>
      <c r="G13">
        <v>27</v>
      </c>
      <c r="H13">
        <v>3</v>
      </c>
      <c r="I13">
        <v>200</v>
      </c>
      <c r="J13">
        <v>0</v>
      </c>
      <c r="K13" s="12" t="s">
        <v>24</v>
      </c>
      <c r="L13">
        <v>209.893</v>
      </c>
      <c r="M13">
        <v>765</v>
      </c>
      <c r="N13" s="12" t="s">
        <v>46</v>
      </c>
      <c r="O13" s="12" t="s">
        <v>46</v>
      </c>
      <c r="P13">
        <v>0</v>
      </c>
      <c r="Q13">
        <v>1</v>
      </c>
      <c r="R13">
        <v>1</v>
      </c>
      <c r="S13">
        <v>615</v>
      </c>
      <c r="T13" s="12" t="s">
        <v>47</v>
      </c>
      <c r="U13" s="12" t="s">
        <v>48</v>
      </c>
      <c r="V13" s="1">
        <v>46107.377083333333</v>
      </c>
    </row>
    <row r="14" spans="1:22" x14ac:dyDescent="0.3">
      <c r="A14" s="12" t="s">
        <v>27</v>
      </c>
      <c r="B14" s="12" t="s">
        <v>45</v>
      </c>
      <c r="C14">
        <v>0</v>
      </c>
      <c r="D14">
        <v>0</v>
      </c>
      <c r="E14">
        <v>0</v>
      </c>
      <c r="F14">
        <v>25</v>
      </c>
      <c r="G14">
        <v>27</v>
      </c>
      <c r="H14">
        <v>3</v>
      </c>
      <c r="I14">
        <v>200</v>
      </c>
      <c r="J14">
        <v>0</v>
      </c>
      <c r="K14" s="12" t="s">
        <v>24</v>
      </c>
      <c r="L14">
        <v>209.893</v>
      </c>
      <c r="M14">
        <v>914</v>
      </c>
      <c r="N14" s="12" t="s">
        <v>46</v>
      </c>
      <c r="O14" s="12" t="s">
        <v>46</v>
      </c>
      <c r="P14">
        <v>0</v>
      </c>
      <c r="Q14">
        <v>1</v>
      </c>
      <c r="R14">
        <v>1</v>
      </c>
      <c r="S14">
        <v>525</v>
      </c>
      <c r="T14" s="12" t="s">
        <v>47</v>
      </c>
      <c r="U14" s="12" t="s">
        <v>48</v>
      </c>
      <c r="V14" s="1">
        <v>46107.387499999997</v>
      </c>
    </row>
    <row r="15" spans="1:22" x14ac:dyDescent="0.3">
      <c r="A15" s="12" t="s">
        <v>28</v>
      </c>
      <c r="B15" s="12" t="s">
        <v>45</v>
      </c>
      <c r="C15">
        <v>0</v>
      </c>
      <c r="D15">
        <v>0</v>
      </c>
      <c r="E15">
        <v>1</v>
      </c>
      <c r="F15">
        <v>25</v>
      </c>
      <c r="G15">
        <v>27</v>
      </c>
      <c r="H15">
        <v>3</v>
      </c>
      <c r="I15">
        <v>200</v>
      </c>
      <c r="J15">
        <v>0</v>
      </c>
      <c r="K15" s="12" t="s">
        <v>24</v>
      </c>
      <c r="L15">
        <v>273.23700000000002</v>
      </c>
      <c r="M15">
        <v>842</v>
      </c>
      <c r="N15" s="12" t="s">
        <v>46</v>
      </c>
      <c r="O15" s="12" t="s">
        <v>46</v>
      </c>
      <c r="P15">
        <v>0</v>
      </c>
      <c r="Q15">
        <v>1</v>
      </c>
      <c r="R15">
        <v>1</v>
      </c>
      <c r="S15">
        <v>596</v>
      </c>
      <c r="T15" s="12" t="s">
        <v>47</v>
      </c>
      <c r="U15" s="12" t="s">
        <v>49</v>
      </c>
      <c r="V15" s="1">
        <v>46107.444444444445</v>
      </c>
    </row>
    <row r="16" spans="1:22" x14ac:dyDescent="0.3">
      <c r="A16" s="12" t="s">
        <v>22</v>
      </c>
      <c r="B16" s="12" t="s">
        <v>23</v>
      </c>
      <c r="C16">
        <v>0</v>
      </c>
      <c r="D16">
        <v>0</v>
      </c>
      <c r="E16">
        <v>10</v>
      </c>
      <c r="F16">
        <v>25</v>
      </c>
      <c r="G16">
        <v>27</v>
      </c>
      <c r="H16">
        <v>3</v>
      </c>
      <c r="I16">
        <v>200</v>
      </c>
      <c r="J16">
        <v>0</v>
      </c>
      <c r="K16" s="12" t="s">
        <v>24</v>
      </c>
      <c r="L16">
        <v>0.27550000000000002</v>
      </c>
      <c r="M16">
        <v>188.95740000000001</v>
      </c>
      <c r="N16" s="12" t="s">
        <v>63</v>
      </c>
      <c r="O16" s="12" t="s">
        <v>63</v>
      </c>
      <c r="P16">
        <v>0</v>
      </c>
      <c r="Q16">
        <v>1</v>
      </c>
      <c r="R16">
        <v>1</v>
      </c>
      <c r="S16">
        <v>975</v>
      </c>
      <c r="T16" s="12" t="s">
        <v>25</v>
      </c>
      <c r="U16" s="12" t="s">
        <v>50</v>
      </c>
      <c r="V16" s="1">
        <v>46107.493611111109</v>
      </c>
    </row>
    <row r="17" spans="1:22" x14ac:dyDescent="0.3">
      <c r="A17" s="12" t="s">
        <v>22</v>
      </c>
      <c r="B17" s="12" t="s">
        <v>23</v>
      </c>
      <c r="C17">
        <v>0</v>
      </c>
      <c r="D17">
        <v>0</v>
      </c>
      <c r="E17">
        <v>10</v>
      </c>
      <c r="F17">
        <v>25</v>
      </c>
      <c r="G17">
        <v>27</v>
      </c>
      <c r="H17">
        <v>3</v>
      </c>
      <c r="I17">
        <v>200</v>
      </c>
      <c r="J17">
        <v>0</v>
      </c>
      <c r="K17" s="12" t="s">
        <v>24</v>
      </c>
      <c r="L17">
        <v>0.2873</v>
      </c>
      <c r="M17">
        <v>174.7843</v>
      </c>
      <c r="N17" s="12" t="s">
        <v>63</v>
      </c>
      <c r="O17" s="12" t="s">
        <v>63</v>
      </c>
      <c r="P17">
        <v>0</v>
      </c>
      <c r="Q17">
        <v>1</v>
      </c>
      <c r="R17">
        <v>1</v>
      </c>
      <c r="S17">
        <v>921</v>
      </c>
      <c r="T17" s="12" t="s">
        <v>25</v>
      </c>
      <c r="U17" s="12" t="s">
        <v>30</v>
      </c>
      <c r="V17" s="1">
        <v>46107.502175925925</v>
      </c>
    </row>
    <row r="18" spans="1:22" x14ac:dyDescent="0.3">
      <c r="A18" s="12" t="s">
        <v>22</v>
      </c>
      <c r="B18" s="12" t="s">
        <v>23</v>
      </c>
      <c r="C18">
        <v>0</v>
      </c>
      <c r="D18">
        <v>0</v>
      </c>
      <c r="E18">
        <v>10</v>
      </c>
      <c r="F18">
        <v>25</v>
      </c>
      <c r="G18">
        <v>27</v>
      </c>
      <c r="H18">
        <v>3</v>
      </c>
      <c r="I18">
        <v>200</v>
      </c>
      <c r="J18">
        <v>0</v>
      </c>
      <c r="K18" s="12" t="s">
        <v>24</v>
      </c>
      <c r="L18">
        <v>0.28210000000000002</v>
      </c>
      <c r="M18">
        <v>208.6635</v>
      </c>
      <c r="N18" s="12" t="s">
        <v>63</v>
      </c>
      <c r="O18" s="12" t="s">
        <v>63</v>
      </c>
      <c r="P18">
        <v>0</v>
      </c>
      <c r="Q18">
        <v>1</v>
      </c>
      <c r="R18">
        <v>1</v>
      </c>
      <c r="S18">
        <v>921</v>
      </c>
      <c r="T18" s="12" t="s">
        <v>25</v>
      </c>
      <c r="U18" s="12" t="s">
        <v>30</v>
      </c>
      <c r="V18" s="1">
        <v>46107.504965277774</v>
      </c>
    </row>
    <row r="19" spans="1:22" x14ac:dyDescent="0.3">
      <c r="A19" s="12" t="s">
        <v>22</v>
      </c>
      <c r="B19" s="12" t="s">
        <v>23</v>
      </c>
      <c r="C19">
        <v>0</v>
      </c>
      <c r="D19">
        <v>0</v>
      </c>
      <c r="E19">
        <v>10</v>
      </c>
      <c r="F19">
        <v>25</v>
      </c>
      <c r="G19">
        <v>27</v>
      </c>
      <c r="H19">
        <v>3</v>
      </c>
      <c r="I19">
        <v>200</v>
      </c>
      <c r="J19">
        <v>0</v>
      </c>
      <c r="K19" s="12" t="s">
        <v>24</v>
      </c>
      <c r="L19">
        <v>0.28199999999999997</v>
      </c>
      <c r="M19">
        <v>189.42490000000001</v>
      </c>
      <c r="N19" s="12" t="s">
        <v>63</v>
      </c>
      <c r="O19" s="12" t="s">
        <v>63</v>
      </c>
      <c r="P19">
        <v>0</v>
      </c>
      <c r="Q19">
        <v>1</v>
      </c>
      <c r="R19">
        <v>1</v>
      </c>
      <c r="S19">
        <v>921</v>
      </c>
      <c r="T19" s="12" t="s">
        <v>25</v>
      </c>
      <c r="U19" s="12" t="s">
        <v>30</v>
      </c>
      <c r="V19" s="1">
        <v>46107.507604166669</v>
      </c>
    </row>
    <row r="20" spans="1:22" x14ac:dyDescent="0.3">
      <c r="A20" s="12" t="s">
        <v>22</v>
      </c>
      <c r="B20" s="12" t="s">
        <v>23</v>
      </c>
      <c r="C20">
        <v>0</v>
      </c>
      <c r="D20">
        <v>0</v>
      </c>
      <c r="E20">
        <v>10</v>
      </c>
      <c r="F20">
        <v>25</v>
      </c>
      <c r="G20">
        <v>27</v>
      </c>
      <c r="H20">
        <v>3</v>
      </c>
      <c r="I20">
        <v>200</v>
      </c>
      <c r="J20">
        <v>0</v>
      </c>
      <c r="K20" s="12" t="s">
        <v>24</v>
      </c>
      <c r="L20">
        <v>0.2787</v>
      </c>
      <c r="M20">
        <v>110.80110000000001</v>
      </c>
      <c r="N20" s="12" t="s">
        <v>63</v>
      </c>
      <c r="O20" s="12" t="s">
        <v>63</v>
      </c>
      <c r="P20">
        <v>0</v>
      </c>
      <c r="Q20">
        <v>1</v>
      </c>
      <c r="R20">
        <v>1</v>
      </c>
      <c r="S20">
        <v>975</v>
      </c>
      <c r="T20" s="12" t="s">
        <v>25</v>
      </c>
      <c r="U20" s="12" t="s">
        <v>50</v>
      </c>
      <c r="V20" s="1">
        <v>46107.511481481481</v>
      </c>
    </row>
    <row r="21" spans="1:22" x14ac:dyDescent="0.3">
      <c r="A21" s="12" t="s">
        <v>27</v>
      </c>
      <c r="B21" s="12" t="s">
        <v>23</v>
      </c>
      <c r="C21">
        <v>0</v>
      </c>
      <c r="D21">
        <v>0</v>
      </c>
      <c r="E21">
        <v>0</v>
      </c>
      <c r="F21">
        <v>25</v>
      </c>
      <c r="G21">
        <v>27</v>
      </c>
      <c r="H21">
        <v>3</v>
      </c>
      <c r="I21">
        <v>200</v>
      </c>
      <c r="J21">
        <v>0</v>
      </c>
      <c r="K21" s="12" t="s">
        <v>24</v>
      </c>
      <c r="L21">
        <v>0.2787</v>
      </c>
      <c r="M21">
        <v>157.9332</v>
      </c>
      <c r="N21" s="12" t="s">
        <v>63</v>
      </c>
      <c r="O21" s="12" t="s">
        <v>63</v>
      </c>
      <c r="P21">
        <v>0</v>
      </c>
      <c r="Q21">
        <v>1</v>
      </c>
      <c r="R21">
        <v>1</v>
      </c>
      <c r="S21">
        <v>795</v>
      </c>
      <c r="T21" s="12" t="s">
        <v>25</v>
      </c>
      <c r="U21" s="12" t="s">
        <v>30</v>
      </c>
      <c r="V21" s="1">
        <v>46107.513310185182</v>
      </c>
    </row>
    <row r="22" spans="1:22" x14ac:dyDescent="0.3">
      <c r="A22" s="12" t="s">
        <v>28</v>
      </c>
      <c r="B22" s="12" t="s">
        <v>23</v>
      </c>
      <c r="C22">
        <v>0</v>
      </c>
      <c r="D22">
        <v>0</v>
      </c>
      <c r="E22">
        <v>1</v>
      </c>
      <c r="F22">
        <v>25</v>
      </c>
      <c r="G22">
        <v>27</v>
      </c>
      <c r="H22">
        <v>3</v>
      </c>
      <c r="I22">
        <v>200</v>
      </c>
      <c r="J22">
        <v>0</v>
      </c>
      <c r="K22" s="12" t="s">
        <v>24</v>
      </c>
      <c r="L22">
        <v>0.2787</v>
      </c>
      <c r="M22">
        <v>146.15690000000001</v>
      </c>
      <c r="N22" s="12" t="s">
        <v>63</v>
      </c>
      <c r="O22" s="12" t="s">
        <v>63</v>
      </c>
      <c r="P22">
        <v>0</v>
      </c>
      <c r="Q22">
        <v>1</v>
      </c>
      <c r="R22">
        <v>1</v>
      </c>
      <c r="S22">
        <v>1161</v>
      </c>
      <c r="T22" s="12" t="s">
        <v>25</v>
      </c>
      <c r="U22" s="12" t="s">
        <v>25</v>
      </c>
      <c r="V22" s="1">
        <v>46107.514999999999</v>
      </c>
    </row>
    <row r="23" spans="1:22" x14ac:dyDescent="0.3">
      <c r="A23" s="12" t="s">
        <v>29</v>
      </c>
      <c r="B23" s="12" t="s">
        <v>23</v>
      </c>
      <c r="C23">
        <v>0</v>
      </c>
      <c r="D23">
        <v>0</v>
      </c>
      <c r="E23">
        <v>2</v>
      </c>
      <c r="F23">
        <v>25</v>
      </c>
      <c r="G23">
        <v>27</v>
      </c>
      <c r="H23">
        <v>3</v>
      </c>
      <c r="I23">
        <v>200</v>
      </c>
      <c r="J23">
        <v>0</v>
      </c>
      <c r="K23" s="12" t="s">
        <v>24</v>
      </c>
      <c r="L23">
        <v>0.2787</v>
      </c>
      <c r="M23">
        <v>94.041700000000006</v>
      </c>
      <c r="N23" s="12" t="s">
        <v>63</v>
      </c>
      <c r="O23" s="12" t="s">
        <v>63</v>
      </c>
      <c r="P23">
        <v>0</v>
      </c>
      <c r="Q23">
        <v>1</v>
      </c>
      <c r="R23">
        <v>1</v>
      </c>
      <c r="S23">
        <v>999</v>
      </c>
      <c r="T23" s="12" t="s">
        <v>25</v>
      </c>
      <c r="U23" s="12" t="s">
        <v>26</v>
      </c>
      <c r="V23" s="1">
        <v>46107.516087962962</v>
      </c>
    </row>
    <row r="24" spans="1:22" x14ac:dyDescent="0.3">
      <c r="A24" s="12" t="s">
        <v>31</v>
      </c>
      <c r="B24" s="12" t="s">
        <v>23</v>
      </c>
      <c r="C24">
        <v>0</v>
      </c>
      <c r="D24">
        <v>0</v>
      </c>
      <c r="E24">
        <v>3</v>
      </c>
      <c r="F24">
        <v>25</v>
      </c>
      <c r="G24">
        <v>27</v>
      </c>
      <c r="H24">
        <v>3</v>
      </c>
      <c r="I24">
        <v>200</v>
      </c>
      <c r="J24">
        <v>0</v>
      </c>
      <c r="K24" s="12" t="s">
        <v>24</v>
      </c>
      <c r="L24">
        <v>0.2787</v>
      </c>
      <c r="M24">
        <v>1224.6114</v>
      </c>
      <c r="N24" s="12" t="s">
        <v>63</v>
      </c>
      <c r="O24" s="12" t="s">
        <v>71</v>
      </c>
      <c r="P24">
        <v>38.010800000000003</v>
      </c>
      <c r="Q24">
        <v>0</v>
      </c>
      <c r="R24">
        <v>17955</v>
      </c>
      <c r="S24">
        <v>1551</v>
      </c>
      <c r="T24" s="12" t="s">
        <v>25</v>
      </c>
      <c r="U24" s="12" t="s">
        <v>51</v>
      </c>
      <c r="V24" s="1">
        <v>46107.530266203707</v>
      </c>
    </row>
    <row r="25" spans="1:22" x14ac:dyDescent="0.3">
      <c r="A25" s="12" t="s">
        <v>52</v>
      </c>
      <c r="B25" s="12" t="s">
        <v>23</v>
      </c>
      <c r="C25">
        <v>0</v>
      </c>
      <c r="D25">
        <v>0</v>
      </c>
      <c r="E25">
        <v>22</v>
      </c>
      <c r="F25">
        <v>25</v>
      </c>
      <c r="G25">
        <v>27</v>
      </c>
      <c r="H25">
        <v>3</v>
      </c>
      <c r="I25">
        <v>200</v>
      </c>
      <c r="J25">
        <v>0</v>
      </c>
      <c r="K25" s="12" t="s">
        <v>24</v>
      </c>
      <c r="L25">
        <v>0.2787</v>
      </c>
      <c r="M25">
        <v>279.2704</v>
      </c>
      <c r="N25" s="12" t="s">
        <v>63</v>
      </c>
      <c r="O25" s="12" t="s">
        <v>63</v>
      </c>
      <c r="P25">
        <v>0</v>
      </c>
      <c r="Q25">
        <v>1</v>
      </c>
      <c r="R25">
        <v>1</v>
      </c>
      <c r="S25">
        <v>354</v>
      </c>
      <c r="T25" s="12" t="s">
        <v>25</v>
      </c>
      <c r="U25" s="12" t="s">
        <v>53</v>
      </c>
      <c r="V25" s="1">
        <v>46107.533495370371</v>
      </c>
    </row>
    <row r="26" spans="1:22" x14ac:dyDescent="0.3">
      <c r="A26" s="12" t="s">
        <v>22</v>
      </c>
      <c r="B26" s="12" t="s">
        <v>45</v>
      </c>
      <c r="C26">
        <v>0</v>
      </c>
      <c r="D26">
        <v>0</v>
      </c>
      <c r="E26">
        <v>10</v>
      </c>
      <c r="F26">
        <v>25</v>
      </c>
      <c r="G26">
        <v>27</v>
      </c>
      <c r="H26">
        <v>3</v>
      </c>
      <c r="I26">
        <v>200</v>
      </c>
      <c r="J26">
        <v>0</v>
      </c>
      <c r="K26" s="12" t="s">
        <v>24</v>
      </c>
      <c r="L26">
        <v>21.396000000000001</v>
      </c>
      <c r="M26">
        <v>165.59729999999999</v>
      </c>
      <c r="N26" s="12" t="s">
        <v>72</v>
      </c>
      <c r="O26" s="12" t="s">
        <v>72</v>
      </c>
      <c r="P26">
        <v>0</v>
      </c>
      <c r="Q26">
        <v>1</v>
      </c>
      <c r="R26">
        <v>1</v>
      </c>
      <c r="S26">
        <v>1506</v>
      </c>
      <c r="T26" s="12" t="s">
        <v>47</v>
      </c>
      <c r="U26" s="12" t="s">
        <v>49</v>
      </c>
      <c r="V26" s="1">
        <v>46107.53565972222</v>
      </c>
    </row>
    <row r="27" spans="1:22" x14ac:dyDescent="0.3">
      <c r="A27" s="12" t="s">
        <v>27</v>
      </c>
      <c r="B27" s="12" t="s">
        <v>45</v>
      </c>
      <c r="C27">
        <v>0</v>
      </c>
      <c r="D27">
        <v>0</v>
      </c>
      <c r="E27">
        <v>0</v>
      </c>
      <c r="F27">
        <v>25</v>
      </c>
      <c r="G27">
        <v>27</v>
      </c>
      <c r="H27">
        <v>3</v>
      </c>
      <c r="I27">
        <v>200</v>
      </c>
      <c r="J27">
        <v>0</v>
      </c>
      <c r="K27" s="12" t="s">
        <v>24</v>
      </c>
      <c r="L27">
        <v>21.396000000000001</v>
      </c>
      <c r="M27">
        <v>352.82470000000001</v>
      </c>
      <c r="N27" s="12" t="s">
        <v>72</v>
      </c>
      <c r="O27" s="12" t="s">
        <v>72</v>
      </c>
      <c r="P27">
        <v>0</v>
      </c>
      <c r="Q27">
        <v>1</v>
      </c>
      <c r="R27">
        <v>1</v>
      </c>
      <c r="S27">
        <v>1389</v>
      </c>
      <c r="T27" s="12" t="s">
        <v>47</v>
      </c>
      <c r="U27" s="12" t="s">
        <v>49</v>
      </c>
      <c r="V27" s="1">
        <v>46107.53974537037</v>
      </c>
    </row>
    <row r="28" spans="1:22" x14ac:dyDescent="0.3">
      <c r="A28" s="12" t="s">
        <v>28</v>
      </c>
      <c r="B28" s="12" t="s">
        <v>45</v>
      </c>
      <c r="C28">
        <v>0</v>
      </c>
      <c r="D28">
        <v>0</v>
      </c>
      <c r="E28">
        <v>1</v>
      </c>
      <c r="F28">
        <v>25</v>
      </c>
      <c r="G28">
        <v>27</v>
      </c>
      <c r="H28">
        <v>3</v>
      </c>
      <c r="I28">
        <v>200</v>
      </c>
      <c r="J28">
        <v>0</v>
      </c>
      <c r="K28" s="12" t="s">
        <v>24</v>
      </c>
      <c r="L28">
        <v>21.396000000000001</v>
      </c>
      <c r="M28">
        <v>103.18600000000001</v>
      </c>
      <c r="N28" s="12" t="s">
        <v>72</v>
      </c>
      <c r="O28" s="12" t="s">
        <v>73</v>
      </c>
      <c r="P28">
        <v>5.9611999999999998</v>
      </c>
      <c r="Q28">
        <v>0</v>
      </c>
      <c r="R28">
        <v>1</v>
      </c>
      <c r="S28">
        <v>1506</v>
      </c>
      <c r="T28" s="12" t="s">
        <v>47</v>
      </c>
      <c r="U28" s="12" t="s">
        <v>54</v>
      </c>
      <c r="V28" s="1">
        <v>46107.540937500002</v>
      </c>
    </row>
    <row r="29" spans="1:22" x14ac:dyDescent="0.3">
      <c r="A29" s="12" t="s">
        <v>29</v>
      </c>
      <c r="B29" s="12" t="s">
        <v>45</v>
      </c>
      <c r="C29">
        <v>0</v>
      </c>
      <c r="D29">
        <v>0</v>
      </c>
      <c r="E29">
        <v>2</v>
      </c>
      <c r="F29">
        <v>25</v>
      </c>
      <c r="G29">
        <v>27</v>
      </c>
      <c r="H29">
        <v>3</v>
      </c>
      <c r="I29">
        <v>200</v>
      </c>
      <c r="J29">
        <v>0</v>
      </c>
      <c r="K29" s="12" t="s">
        <v>24</v>
      </c>
      <c r="L29">
        <v>21.396000000000001</v>
      </c>
      <c r="M29">
        <v>311.5942</v>
      </c>
      <c r="N29" s="12" t="s">
        <v>72</v>
      </c>
      <c r="O29" s="12" t="s">
        <v>72</v>
      </c>
      <c r="P29">
        <v>0</v>
      </c>
      <c r="Q29">
        <v>1</v>
      </c>
      <c r="R29">
        <v>1</v>
      </c>
      <c r="S29">
        <v>1506</v>
      </c>
      <c r="T29" s="12" t="s">
        <v>47</v>
      </c>
      <c r="U29" s="12" t="s">
        <v>55</v>
      </c>
      <c r="V29" s="1">
        <v>46107.544548611113</v>
      </c>
    </row>
    <row r="30" spans="1:22" x14ac:dyDescent="0.3">
      <c r="A30" s="12" t="s">
        <v>31</v>
      </c>
      <c r="B30" s="12" t="s">
        <v>45</v>
      </c>
      <c r="C30">
        <v>0</v>
      </c>
      <c r="D30">
        <v>0</v>
      </c>
      <c r="E30">
        <v>3</v>
      </c>
      <c r="F30">
        <v>25</v>
      </c>
      <c r="G30">
        <v>27</v>
      </c>
      <c r="H30">
        <v>3</v>
      </c>
      <c r="I30">
        <v>200</v>
      </c>
      <c r="J30">
        <v>0</v>
      </c>
      <c r="K30" s="12" t="s">
        <v>24</v>
      </c>
      <c r="L30">
        <v>21.396000000000001</v>
      </c>
      <c r="M30">
        <v>409.25630000000001</v>
      </c>
      <c r="N30" s="12" t="s">
        <v>72</v>
      </c>
      <c r="O30" s="12" t="s">
        <v>74</v>
      </c>
      <c r="P30">
        <v>22.6584</v>
      </c>
      <c r="Q30">
        <v>0</v>
      </c>
      <c r="R30">
        <v>111</v>
      </c>
      <c r="S30">
        <v>3474</v>
      </c>
      <c r="T30" s="12" t="s">
        <v>47</v>
      </c>
      <c r="U30" s="12" t="s">
        <v>56</v>
      </c>
      <c r="V30" s="1">
        <v>46107.54928240741</v>
      </c>
    </row>
    <row r="31" spans="1:22" x14ac:dyDescent="0.3">
      <c r="A31" s="12" t="s">
        <v>52</v>
      </c>
      <c r="B31" s="12" t="s">
        <v>45</v>
      </c>
      <c r="C31">
        <v>0</v>
      </c>
      <c r="D31">
        <v>0</v>
      </c>
      <c r="E31">
        <v>22</v>
      </c>
      <c r="F31">
        <v>25</v>
      </c>
      <c r="G31">
        <v>27</v>
      </c>
      <c r="H31">
        <v>3</v>
      </c>
      <c r="I31">
        <v>200</v>
      </c>
      <c r="J31">
        <v>0</v>
      </c>
      <c r="K31" s="12" t="s">
        <v>24</v>
      </c>
      <c r="L31">
        <v>21.396000000000001</v>
      </c>
      <c r="M31">
        <v>872.39520000000005</v>
      </c>
      <c r="N31" s="12" t="s">
        <v>72</v>
      </c>
      <c r="O31" s="12" t="s">
        <v>72</v>
      </c>
      <c r="P31">
        <v>0</v>
      </c>
      <c r="Q31">
        <v>1</v>
      </c>
      <c r="R31">
        <v>1</v>
      </c>
      <c r="S31">
        <v>657</v>
      </c>
      <c r="T31" s="12" t="s">
        <v>47</v>
      </c>
      <c r="U31" s="12" t="s">
        <v>57</v>
      </c>
      <c r="V31" s="1">
        <v>46107.559374999997</v>
      </c>
    </row>
    <row r="32" spans="1:22" x14ac:dyDescent="0.3">
      <c r="A32" s="12" t="s">
        <v>22</v>
      </c>
      <c r="B32" s="12" t="s">
        <v>58</v>
      </c>
      <c r="C32">
        <v>0</v>
      </c>
      <c r="D32">
        <v>0</v>
      </c>
      <c r="E32">
        <v>10</v>
      </c>
      <c r="F32">
        <v>25</v>
      </c>
      <c r="G32">
        <v>27</v>
      </c>
      <c r="H32">
        <v>3</v>
      </c>
      <c r="I32">
        <v>200</v>
      </c>
      <c r="J32">
        <v>0</v>
      </c>
      <c r="K32" s="12" t="s">
        <v>24</v>
      </c>
      <c r="L32">
        <v>1202.3031000000001</v>
      </c>
      <c r="M32">
        <v>493.5129</v>
      </c>
      <c r="N32" s="12" t="s">
        <v>72</v>
      </c>
      <c r="O32" s="12" t="s">
        <v>72</v>
      </c>
      <c r="P32">
        <v>0</v>
      </c>
      <c r="Q32">
        <v>1</v>
      </c>
      <c r="R32">
        <v>7</v>
      </c>
      <c r="S32">
        <v>1734</v>
      </c>
      <c r="T32" s="12" t="s">
        <v>57</v>
      </c>
      <c r="U32" s="12" t="s">
        <v>55</v>
      </c>
      <c r="V32" s="1">
        <v>46107.579004629632</v>
      </c>
    </row>
    <row r="33" spans="1:22" x14ac:dyDescent="0.3">
      <c r="A33" s="12" t="s">
        <v>27</v>
      </c>
      <c r="B33" s="12" t="s">
        <v>58</v>
      </c>
      <c r="C33">
        <v>0</v>
      </c>
      <c r="D33">
        <v>0</v>
      </c>
      <c r="E33">
        <v>0</v>
      </c>
      <c r="F33">
        <v>25</v>
      </c>
      <c r="G33">
        <v>27</v>
      </c>
      <c r="H33">
        <v>3</v>
      </c>
      <c r="I33">
        <v>200</v>
      </c>
      <c r="J33">
        <v>0</v>
      </c>
      <c r="K33" s="12" t="s">
        <v>24</v>
      </c>
      <c r="L33">
        <v>1202.3031000000001</v>
      </c>
      <c r="M33">
        <v>3510.2112999999999</v>
      </c>
      <c r="N33" s="12" t="s">
        <v>72</v>
      </c>
      <c r="O33" s="12" t="s">
        <v>72</v>
      </c>
      <c r="P33">
        <v>0</v>
      </c>
      <c r="Q33">
        <v>1</v>
      </c>
      <c r="R33">
        <v>1</v>
      </c>
      <c r="S33">
        <v>1365</v>
      </c>
      <c r="T33" s="12" t="s">
        <v>57</v>
      </c>
      <c r="U33" s="12" t="s">
        <v>49</v>
      </c>
      <c r="V33" s="1">
        <v>46107.619629629633</v>
      </c>
    </row>
    <row r="34" spans="1:22" x14ac:dyDescent="0.3">
      <c r="A34" s="12" t="s">
        <v>28</v>
      </c>
      <c r="B34" s="12" t="s">
        <v>58</v>
      </c>
      <c r="C34">
        <v>0</v>
      </c>
      <c r="D34">
        <v>0</v>
      </c>
      <c r="E34">
        <v>1</v>
      </c>
      <c r="F34">
        <v>25</v>
      </c>
      <c r="G34">
        <v>27</v>
      </c>
      <c r="H34">
        <v>3</v>
      </c>
      <c r="I34">
        <v>200</v>
      </c>
      <c r="J34">
        <v>0</v>
      </c>
      <c r="K34" s="12" t="s">
        <v>24</v>
      </c>
      <c r="L34">
        <v>1202.3031000000001</v>
      </c>
      <c r="M34">
        <v>274.72969999999998</v>
      </c>
      <c r="N34" s="12" t="s">
        <v>72</v>
      </c>
      <c r="O34" s="12" t="s">
        <v>75</v>
      </c>
      <c r="P34">
        <v>4.5923999999999996</v>
      </c>
      <c r="Q34">
        <v>0</v>
      </c>
      <c r="R34">
        <v>1</v>
      </c>
      <c r="S34">
        <v>1506</v>
      </c>
      <c r="T34" s="12" t="s">
        <v>57</v>
      </c>
      <c r="U34" s="12" t="s">
        <v>60</v>
      </c>
      <c r="V34" s="1">
        <v>46107.622812499998</v>
      </c>
    </row>
    <row r="35" spans="1:22" x14ac:dyDescent="0.3">
      <c r="A35" s="12" t="s">
        <v>29</v>
      </c>
      <c r="B35" s="12" t="s">
        <v>58</v>
      </c>
      <c r="C35">
        <v>0</v>
      </c>
      <c r="D35">
        <v>0</v>
      </c>
      <c r="E35">
        <v>2</v>
      </c>
      <c r="F35">
        <v>25</v>
      </c>
      <c r="G35">
        <v>27</v>
      </c>
      <c r="H35">
        <v>3</v>
      </c>
      <c r="I35">
        <v>200</v>
      </c>
      <c r="J35">
        <v>0</v>
      </c>
      <c r="K35" s="12" t="s">
        <v>24</v>
      </c>
      <c r="L35">
        <v>1202.3031000000001</v>
      </c>
      <c r="M35">
        <v>3600.1190000000001</v>
      </c>
      <c r="N35" s="12" t="s">
        <v>72</v>
      </c>
      <c r="O35" s="12" t="s">
        <v>76</v>
      </c>
      <c r="R35">
        <v>0</v>
      </c>
      <c r="S35">
        <v>0</v>
      </c>
      <c r="T35" s="12" t="s">
        <v>57</v>
      </c>
      <c r="U35" s="12" t="s">
        <v>61</v>
      </c>
      <c r="V35" s="1">
        <v>46107.664479166669</v>
      </c>
    </row>
    <row r="36" spans="1:22" x14ac:dyDescent="0.3">
      <c r="A36" s="12" t="s">
        <v>31</v>
      </c>
      <c r="B36" s="12" t="s">
        <v>58</v>
      </c>
      <c r="C36">
        <v>0</v>
      </c>
      <c r="D36">
        <v>0</v>
      </c>
      <c r="E36">
        <v>3</v>
      </c>
      <c r="F36">
        <v>25</v>
      </c>
      <c r="G36">
        <v>27</v>
      </c>
      <c r="H36">
        <v>3</v>
      </c>
      <c r="I36">
        <v>200</v>
      </c>
      <c r="J36">
        <v>0</v>
      </c>
      <c r="K36" s="12" t="s">
        <v>24</v>
      </c>
      <c r="L36">
        <v>1202.3031000000001</v>
      </c>
      <c r="M36">
        <v>2709.9452999999999</v>
      </c>
      <c r="N36" s="12" t="s">
        <v>72</v>
      </c>
      <c r="O36" s="12" t="s">
        <v>77</v>
      </c>
      <c r="P36">
        <v>11.560600000000001</v>
      </c>
      <c r="Q36">
        <v>0</v>
      </c>
      <c r="R36">
        <v>271</v>
      </c>
      <c r="S36">
        <v>5781</v>
      </c>
      <c r="T36" s="12" t="s">
        <v>57</v>
      </c>
      <c r="U36" s="12" t="s">
        <v>78</v>
      </c>
      <c r="V36" s="1">
        <v>46107.695844907408</v>
      </c>
    </row>
    <row r="37" spans="1:22" x14ac:dyDescent="0.3">
      <c r="A37" s="12" t="s">
        <v>22</v>
      </c>
      <c r="B37" s="12" t="s">
        <v>23</v>
      </c>
      <c r="C37">
        <v>0</v>
      </c>
      <c r="D37">
        <v>0</v>
      </c>
      <c r="E37">
        <v>10</v>
      </c>
      <c r="F37">
        <v>25</v>
      </c>
      <c r="G37">
        <v>27</v>
      </c>
      <c r="H37">
        <v>3</v>
      </c>
      <c r="I37">
        <v>200</v>
      </c>
      <c r="J37">
        <v>0</v>
      </c>
      <c r="K37" s="12" t="s">
        <v>24</v>
      </c>
      <c r="L37">
        <v>0.27039999999999997</v>
      </c>
      <c r="M37">
        <v>99.733000000000004</v>
      </c>
      <c r="N37" s="12" t="s">
        <v>63</v>
      </c>
      <c r="O37" s="12" t="s">
        <v>63</v>
      </c>
      <c r="P37">
        <v>0</v>
      </c>
      <c r="Q37">
        <v>1</v>
      </c>
      <c r="R37">
        <v>1</v>
      </c>
      <c r="S37">
        <v>975</v>
      </c>
      <c r="T37" s="12" t="s">
        <v>25</v>
      </c>
      <c r="U37" s="12" t="s">
        <v>50</v>
      </c>
      <c r="V37" s="1">
        <v>46107.702499999999</v>
      </c>
    </row>
    <row r="38" spans="1:22" x14ac:dyDescent="0.3">
      <c r="A38" s="12" t="s">
        <v>27</v>
      </c>
      <c r="B38" s="12" t="s">
        <v>23</v>
      </c>
      <c r="C38">
        <v>0</v>
      </c>
      <c r="D38">
        <v>0</v>
      </c>
      <c r="E38">
        <v>0</v>
      </c>
      <c r="F38">
        <v>25</v>
      </c>
      <c r="G38">
        <v>27</v>
      </c>
      <c r="H38">
        <v>3</v>
      </c>
      <c r="I38">
        <v>200</v>
      </c>
      <c r="J38">
        <v>0</v>
      </c>
      <c r="K38" s="12" t="s">
        <v>24</v>
      </c>
      <c r="L38">
        <v>0.27039999999999997</v>
      </c>
      <c r="M38">
        <v>144.14259999999999</v>
      </c>
      <c r="N38" s="12" t="s">
        <v>63</v>
      </c>
      <c r="O38" s="12" t="s">
        <v>63</v>
      </c>
      <c r="P38">
        <v>0</v>
      </c>
      <c r="Q38">
        <v>1</v>
      </c>
      <c r="R38">
        <v>1</v>
      </c>
      <c r="S38">
        <v>795</v>
      </c>
      <c r="T38" s="12" t="s">
        <v>25</v>
      </c>
      <c r="U38" s="12" t="s">
        <v>30</v>
      </c>
      <c r="V38" s="1">
        <v>46107.70416666667</v>
      </c>
    </row>
    <row r="39" spans="1:22" x14ac:dyDescent="0.3">
      <c r="A39" s="12" t="s">
        <v>28</v>
      </c>
      <c r="B39" s="12" t="s">
        <v>23</v>
      </c>
      <c r="C39">
        <v>0</v>
      </c>
      <c r="D39">
        <v>0</v>
      </c>
      <c r="E39">
        <v>1</v>
      </c>
      <c r="F39">
        <v>25</v>
      </c>
      <c r="G39">
        <v>27</v>
      </c>
      <c r="H39">
        <v>3</v>
      </c>
      <c r="I39">
        <v>200</v>
      </c>
      <c r="J39">
        <v>0</v>
      </c>
      <c r="K39" s="12" t="s">
        <v>24</v>
      </c>
      <c r="L39">
        <v>0.27039999999999997</v>
      </c>
      <c r="M39">
        <v>222.62289999999999</v>
      </c>
      <c r="N39" s="12" t="s">
        <v>63</v>
      </c>
      <c r="O39" s="12" t="s">
        <v>63</v>
      </c>
      <c r="P39">
        <v>0</v>
      </c>
      <c r="Q39">
        <v>1</v>
      </c>
      <c r="R39">
        <v>1</v>
      </c>
      <c r="S39">
        <v>1161</v>
      </c>
      <c r="T39" s="12" t="s">
        <v>25</v>
      </c>
      <c r="U39" s="12" t="s">
        <v>25</v>
      </c>
      <c r="V39" s="1">
        <v>46107.706747685188</v>
      </c>
    </row>
    <row r="40" spans="1:22" x14ac:dyDescent="0.3">
      <c r="A40" s="12" t="s">
        <v>29</v>
      </c>
      <c r="B40" s="12" t="s">
        <v>23</v>
      </c>
      <c r="C40">
        <v>0</v>
      </c>
      <c r="D40">
        <v>0</v>
      </c>
      <c r="E40">
        <v>2</v>
      </c>
      <c r="F40">
        <v>25</v>
      </c>
      <c r="G40">
        <v>27</v>
      </c>
      <c r="H40">
        <v>3</v>
      </c>
      <c r="I40">
        <v>200</v>
      </c>
      <c r="J40">
        <v>0</v>
      </c>
      <c r="K40" s="12" t="s">
        <v>24</v>
      </c>
      <c r="L40">
        <v>0.27039999999999997</v>
      </c>
      <c r="M40">
        <v>135.4966</v>
      </c>
      <c r="N40" s="12" t="s">
        <v>63</v>
      </c>
      <c r="O40" s="12" t="s">
        <v>63</v>
      </c>
      <c r="P40">
        <v>0</v>
      </c>
      <c r="Q40">
        <v>1</v>
      </c>
      <c r="R40">
        <v>1</v>
      </c>
      <c r="S40">
        <v>999</v>
      </c>
      <c r="T40" s="12" t="s">
        <v>25</v>
      </c>
      <c r="U40" s="12" t="s">
        <v>26</v>
      </c>
      <c r="V40" s="1">
        <v>46107.708310185182</v>
      </c>
    </row>
    <row r="41" spans="1:22" x14ac:dyDescent="0.3">
      <c r="A41" s="12" t="s">
        <v>22</v>
      </c>
      <c r="B41" s="12" t="s">
        <v>79</v>
      </c>
      <c r="C41">
        <v>0</v>
      </c>
      <c r="D41">
        <v>0</v>
      </c>
      <c r="E41">
        <v>10</v>
      </c>
      <c r="F41">
        <v>25</v>
      </c>
      <c r="G41">
        <v>27</v>
      </c>
      <c r="H41">
        <v>8</v>
      </c>
      <c r="I41">
        <v>200</v>
      </c>
      <c r="J41">
        <v>0</v>
      </c>
      <c r="K41" s="12" t="s">
        <v>24</v>
      </c>
      <c r="L41">
        <v>0.73150000000000004</v>
      </c>
      <c r="M41">
        <v>24.970600000000001</v>
      </c>
      <c r="N41" s="12" t="s">
        <v>80</v>
      </c>
      <c r="O41" s="12" t="s">
        <v>80</v>
      </c>
      <c r="P41">
        <v>0</v>
      </c>
      <c r="Q41">
        <v>1</v>
      </c>
      <c r="R41">
        <v>1</v>
      </c>
      <c r="S41">
        <v>1176</v>
      </c>
      <c r="T41" s="12" t="s">
        <v>81</v>
      </c>
      <c r="U41" s="12" t="s">
        <v>82</v>
      </c>
      <c r="V41" s="1">
        <v>46107.712962962964</v>
      </c>
    </row>
    <row r="42" spans="1:22" x14ac:dyDescent="0.3">
      <c r="A42" s="12" t="s">
        <v>27</v>
      </c>
      <c r="B42" s="12" t="s">
        <v>79</v>
      </c>
      <c r="C42">
        <v>0</v>
      </c>
      <c r="D42">
        <v>0</v>
      </c>
      <c r="E42">
        <v>0</v>
      </c>
      <c r="F42">
        <v>25</v>
      </c>
      <c r="G42">
        <v>27</v>
      </c>
      <c r="H42">
        <v>8</v>
      </c>
      <c r="I42">
        <v>200</v>
      </c>
      <c r="J42">
        <v>0</v>
      </c>
      <c r="K42" s="12" t="s">
        <v>24</v>
      </c>
      <c r="L42">
        <v>0.73150000000000004</v>
      </c>
      <c r="M42">
        <v>68.939099999999996</v>
      </c>
      <c r="N42" s="12" t="s">
        <v>80</v>
      </c>
      <c r="O42" s="12" t="s">
        <v>80</v>
      </c>
      <c r="P42">
        <v>0</v>
      </c>
      <c r="Q42">
        <v>1</v>
      </c>
      <c r="R42">
        <v>1</v>
      </c>
      <c r="S42">
        <v>848</v>
      </c>
      <c r="T42" s="12" t="s">
        <v>81</v>
      </c>
      <c r="U42" s="12" t="s">
        <v>83</v>
      </c>
      <c r="V42" s="1">
        <v>46107.713761574072</v>
      </c>
    </row>
    <row r="43" spans="1:22" x14ac:dyDescent="0.3">
      <c r="A43" s="12" t="s">
        <v>28</v>
      </c>
      <c r="B43" s="12" t="s">
        <v>79</v>
      </c>
      <c r="C43">
        <v>0</v>
      </c>
      <c r="D43">
        <v>0</v>
      </c>
      <c r="E43">
        <v>1</v>
      </c>
      <c r="F43">
        <v>25</v>
      </c>
      <c r="G43">
        <v>27</v>
      </c>
      <c r="H43">
        <v>8</v>
      </c>
      <c r="I43">
        <v>200</v>
      </c>
      <c r="J43">
        <v>0</v>
      </c>
      <c r="K43" s="12" t="s">
        <v>24</v>
      </c>
      <c r="L43">
        <v>0.73150000000000004</v>
      </c>
      <c r="M43">
        <v>21.856000000000002</v>
      </c>
      <c r="N43" s="12" t="s">
        <v>80</v>
      </c>
      <c r="O43" s="12" t="s">
        <v>80</v>
      </c>
      <c r="P43">
        <v>0</v>
      </c>
      <c r="Q43">
        <v>1</v>
      </c>
      <c r="R43">
        <v>1</v>
      </c>
      <c r="S43">
        <v>1064</v>
      </c>
      <c r="T43" s="12" t="s">
        <v>81</v>
      </c>
      <c r="U43" s="12" t="s">
        <v>84</v>
      </c>
      <c r="V43" s="1">
        <v>46107.714016203703</v>
      </c>
    </row>
    <row r="44" spans="1:22" x14ac:dyDescent="0.3">
      <c r="A44" s="12" t="s">
        <v>29</v>
      </c>
      <c r="B44" s="12" t="s">
        <v>79</v>
      </c>
      <c r="C44">
        <v>0</v>
      </c>
      <c r="D44">
        <v>0</v>
      </c>
      <c r="E44">
        <v>2</v>
      </c>
      <c r="F44">
        <v>25</v>
      </c>
      <c r="G44">
        <v>27</v>
      </c>
      <c r="H44">
        <v>8</v>
      </c>
      <c r="I44">
        <v>200</v>
      </c>
      <c r="J44">
        <v>0</v>
      </c>
      <c r="K44" s="12" t="s">
        <v>24</v>
      </c>
      <c r="L44">
        <v>0.73150000000000004</v>
      </c>
      <c r="M44">
        <v>35.846600000000002</v>
      </c>
      <c r="N44" s="12" t="s">
        <v>80</v>
      </c>
      <c r="O44" s="12" t="s">
        <v>80</v>
      </c>
      <c r="P44">
        <v>0</v>
      </c>
      <c r="Q44">
        <v>1</v>
      </c>
      <c r="R44">
        <v>1</v>
      </c>
      <c r="S44">
        <v>1184</v>
      </c>
      <c r="T44" s="12" t="s">
        <v>81</v>
      </c>
      <c r="U44" s="12" t="s">
        <v>85</v>
      </c>
      <c r="V44" s="1">
        <v>46107.714432870373</v>
      </c>
    </row>
    <row r="45" spans="1:22" x14ac:dyDescent="0.3">
      <c r="A45" s="12" t="s">
        <v>31</v>
      </c>
      <c r="B45" s="12" t="s">
        <v>79</v>
      </c>
      <c r="C45">
        <v>0</v>
      </c>
      <c r="D45">
        <v>0</v>
      </c>
      <c r="E45">
        <v>3</v>
      </c>
      <c r="F45">
        <v>25</v>
      </c>
      <c r="G45">
        <v>27</v>
      </c>
      <c r="H45">
        <v>8</v>
      </c>
      <c r="I45">
        <v>200</v>
      </c>
      <c r="J45">
        <v>0</v>
      </c>
      <c r="K45" s="12" t="s">
        <v>24</v>
      </c>
      <c r="L45">
        <v>0.73150000000000004</v>
      </c>
      <c r="M45">
        <v>2.7225999999999999</v>
      </c>
      <c r="N45" s="12" t="s">
        <v>80</v>
      </c>
      <c r="O45" s="12" t="s">
        <v>86</v>
      </c>
      <c r="P45">
        <v>4.6147999999999998</v>
      </c>
      <c r="Q45">
        <v>0</v>
      </c>
      <c r="R45">
        <v>1</v>
      </c>
      <c r="S45">
        <v>976</v>
      </c>
      <c r="T45" s="12" t="s">
        <v>81</v>
      </c>
      <c r="U45" s="12" t="s">
        <v>87</v>
      </c>
      <c r="V45" s="1">
        <v>46107.714456018519</v>
      </c>
    </row>
    <row r="46" spans="1:22" x14ac:dyDescent="0.3">
      <c r="A46" s="12" t="s">
        <v>52</v>
      </c>
      <c r="B46" s="12" t="s">
        <v>79</v>
      </c>
      <c r="C46">
        <v>0</v>
      </c>
      <c r="D46">
        <v>0</v>
      </c>
      <c r="E46">
        <v>22</v>
      </c>
      <c r="F46">
        <v>25</v>
      </c>
      <c r="G46">
        <v>27</v>
      </c>
      <c r="H46">
        <v>8</v>
      </c>
      <c r="I46">
        <v>200</v>
      </c>
      <c r="J46">
        <v>0</v>
      </c>
      <c r="K46" s="12" t="s">
        <v>24</v>
      </c>
      <c r="L46">
        <v>0.73150000000000004</v>
      </c>
      <c r="M46">
        <v>105.4837</v>
      </c>
      <c r="N46" s="12" t="s">
        <v>80</v>
      </c>
      <c r="O46" s="12" t="s">
        <v>80</v>
      </c>
      <c r="P46">
        <v>0</v>
      </c>
      <c r="Q46">
        <v>1</v>
      </c>
      <c r="R46">
        <v>1</v>
      </c>
      <c r="S46">
        <v>480</v>
      </c>
      <c r="T46" s="12" t="s">
        <v>81</v>
      </c>
      <c r="U46" s="12" t="s">
        <v>88</v>
      </c>
      <c r="V46" s="1">
        <v>46107.715682870374</v>
      </c>
    </row>
    <row r="47" spans="1:22" x14ac:dyDescent="0.3">
      <c r="A47" s="12" t="s">
        <v>22</v>
      </c>
      <c r="B47" s="12" t="s">
        <v>79</v>
      </c>
      <c r="C47">
        <v>0</v>
      </c>
      <c r="D47">
        <v>0</v>
      </c>
      <c r="E47">
        <v>10</v>
      </c>
      <c r="F47">
        <v>25</v>
      </c>
      <c r="G47">
        <v>27</v>
      </c>
      <c r="H47">
        <v>8</v>
      </c>
      <c r="I47">
        <v>200</v>
      </c>
      <c r="J47">
        <v>0</v>
      </c>
      <c r="K47" s="12" t="s">
        <v>24</v>
      </c>
      <c r="L47">
        <v>0.73960000000000004</v>
      </c>
      <c r="M47">
        <v>25.3171</v>
      </c>
      <c r="N47" s="12" t="s">
        <v>80</v>
      </c>
      <c r="O47" s="12" t="s">
        <v>80</v>
      </c>
      <c r="P47">
        <v>0</v>
      </c>
      <c r="Q47">
        <v>1</v>
      </c>
      <c r="R47">
        <v>1</v>
      </c>
      <c r="S47">
        <v>1176</v>
      </c>
      <c r="T47" s="12" t="s">
        <v>81</v>
      </c>
      <c r="U47" s="12" t="s">
        <v>82</v>
      </c>
      <c r="V47" s="1">
        <v>46107.819814814815</v>
      </c>
    </row>
    <row r="48" spans="1:22" x14ac:dyDescent="0.3">
      <c r="A48" s="12" t="s">
        <v>22</v>
      </c>
      <c r="B48" s="12" t="s">
        <v>89</v>
      </c>
      <c r="C48">
        <v>0</v>
      </c>
      <c r="D48">
        <v>0</v>
      </c>
      <c r="E48">
        <v>10</v>
      </c>
      <c r="F48">
        <v>25</v>
      </c>
      <c r="G48">
        <v>27</v>
      </c>
      <c r="H48">
        <v>7</v>
      </c>
      <c r="I48">
        <v>200</v>
      </c>
      <c r="J48">
        <v>0</v>
      </c>
      <c r="K48" s="12" t="s">
        <v>24</v>
      </c>
      <c r="L48">
        <v>1200.9863</v>
      </c>
      <c r="M48">
        <v>1620.0409</v>
      </c>
      <c r="N48" s="12" t="s">
        <v>90</v>
      </c>
      <c r="O48" s="12" t="s">
        <v>90</v>
      </c>
      <c r="P48">
        <v>0</v>
      </c>
      <c r="Q48">
        <v>1</v>
      </c>
      <c r="R48">
        <v>2585</v>
      </c>
      <c r="S48">
        <v>2170</v>
      </c>
      <c r="T48" s="12" t="s">
        <v>91</v>
      </c>
      <c r="U48" s="12" t="s">
        <v>92</v>
      </c>
      <c r="V48" s="1">
        <v>46107.852465277778</v>
      </c>
    </row>
    <row r="49" spans="1:22" x14ac:dyDescent="0.3">
      <c r="A49" s="12" t="s">
        <v>22</v>
      </c>
      <c r="B49" s="12" t="s">
        <v>93</v>
      </c>
      <c r="C49">
        <v>0</v>
      </c>
      <c r="D49">
        <v>0</v>
      </c>
      <c r="E49">
        <v>10</v>
      </c>
      <c r="F49">
        <v>25</v>
      </c>
      <c r="G49">
        <v>27</v>
      </c>
      <c r="H49">
        <v>5</v>
      </c>
      <c r="I49">
        <v>200</v>
      </c>
      <c r="J49">
        <v>0</v>
      </c>
      <c r="K49" s="12" t="s">
        <v>24</v>
      </c>
      <c r="L49">
        <v>1201.1936000000001</v>
      </c>
      <c r="M49">
        <v>185.24809999999999</v>
      </c>
      <c r="N49" s="12" t="s">
        <v>94</v>
      </c>
      <c r="O49" s="12" t="s">
        <v>95</v>
      </c>
      <c r="P49">
        <v>-2.6800999999999999</v>
      </c>
      <c r="Q49">
        <v>0</v>
      </c>
      <c r="R49">
        <v>1</v>
      </c>
      <c r="S49">
        <v>1525</v>
      </c>
      <c r="T49" s="12" t="s">
        <v>96</v>
      </c>
      <c r="U49" s="12" t="s">
        <v>97</v>
      </c>
      <c r="V49" s="1">
        <v>46107.868506944447</v>
      </c>
    </row>
    <row r="50" spans="1:22" x14ac:dyDescent="0.3">
      <c r="A50" s="12" t="s">
        <v>22</v>
      </c>
      <c r="B50" s="12" t="s">
        <v>98</v>
      </c>
      <c r="C50">
        <v>0</v>
      </c>
      <c r="D50">
        <v>0</v>
      </c>
      <c r="E50">
        <v>10</v>
      </c>
      <c r="F50">
        <v>25</v>
      </c>
      <c r="G50">
        <v>27</v>
      </c>
      <c r="H50">
        <v>4</v>
      </c>
      <c r="I50">
        <v>200</v>
      </c>
      <c r="J50">
        <v>0</v>
      </c>
      <c r="K50" s="12" t="s">
        <v>24</v>
      </c>
      <c r="L50">
        <v>1201.6167</v>
      </c>
      <c r="M50">
        <v>162.71610000000001</v>
      </c>
      <c r="N50" s="12" t="s">
        <v>99</v>
      </c>
      <c r="O50" s="12" t="s">
        <v>100</v>
      </c>
      <c r="P50">
        <v>-7.8745000000000003</v>
      </c>
      <c r="Q50">
        <v>0</v>
      </c>
      <c r="R50">
        <v>3</v>
      </c>
      <c r="S50">
        <v>1732</v>
      </c>
      <c r="T50" s="12" t="s">
        <v>101</v>
      </c>
      <c r="U50" s="12" t="s">
        <v>102</v>
      </c>
      <c r="V50" s="1">
        <v>46107.884293981479</v>
      </c>
    </row>
    <row r="51" spans="1:22" x14ac:dyDescent="0.3">
      <c r="A51" s="12" t="s">
        <v>22</v>
      </c>
      <c r="B51" s="12" t="s">
        <v>103</v>
      </c>
      <c r="C51">
        <v>0</v>
      </c>
      <c r="D51">
        <v>0</v>
      </c>
      <c r="E51">
        <v>10</v>
      </c>
      <c r="F51">
        <v>25</v>
      </c>
      <c r="G51">
        <v>27</v>
      </c>
      <c r="H51">
        <v>6</v>
      </c>
      <c r="I51">
        <v>200</v>
      </c>
      <c r="J51">
        <v>0</v>
      </c>
      <c r="K51" s="12" t="s">
        <v>24</v>
      </c>
      <c r="L51">
        <v>17.6753</v>
      </c>
      <c r="M51">
        <v>45.564900000000002</v>
      </c>
      <c r="N51" s="12" t="s">
        <v>104</v>
      </c>
      <c r="O51" s="12" t="s">
        <v>104</v>
      </c>
      <c r="P51">
        <v>0</v>
      </c>
      <c r="Q51">
        <v>1</v>
      </c>
      <c r="R51">
        <v>1</v>
      </c>
      <c r="S51">
        <v>1242</v>
      </c>
      <c r="T51" s="12" t="s">
        <v>105</v>
      </c>
      <c r="U51" s="12" t="s">
        <v>106</v>
      </c>
      <c r="V51" s="1">
        <v>46107.885034722225</v>
      </c>
    </row>
    <row r="52" spans="1:22" x14ac:dyDescent="0.3">
      <c r="A52" s="12" t="s">
        <v>22</v>
      </c>
      <c r="B52" s="12" t="s">
        <v>107</v>
      </c>
      <c r="C52">
        <v>0</v>
      </c>
      <c r="D52">
        <v>0</v>
      </c>
      <c r="E52">
        <v>10</v>
      </c>
      <c r="F52">
        <v>25</v>
      </c>
      <c r="G52">
        <v>27</v>
      </c>
      <c r="H52">
        <v>5</v>
      </c>
      <c r="I52">
        <v>200</v>
      </c>
      <c r="J52">
        <v>0</v>
      </c>
      <c r="K52" s="12" t="s">
        <v>24</v>
      </c>
      <c r="L52">
        <v>1096.8556000000001</v>
      </c>
      <c r="M52">
        <v>896.23320000000001</v>
      </c>
      <c r="N52" s="12" t="s">
        <v>108</v>
      </c>
      <c r="O52" s="12" t="s">
        <v>108</v>
      </c>
      <c r="P52">
        <v>0</v>
      </c>
      <c r="Q52">
        <v>1</v>
      </c>
      <c r="R52">
        <v>135</v>
      </c>
      <c r="S52">
        <v>2515</v>
      </c>
      <c r="T52" s="12" t="s">
        <v>109</v>
      </c>
      <c r="U52" s="12" t="s">
        <v>110</v>
      </c>
      <c r="V52" s="1">
        <v>46107.908101851855</v>
      </c>
    </row>
    <row r="53" spans="1:22" x14ac:dyDescent="0.3">
      <c r="A53" s="12" t="s">
        <v>22</v>
      </c>
      <c r="B53" s="12" t="s">
        <v>111</v>
      </c>
      <c r="C53">
        <v>0</v>
      </c>
      <c r="D53">
        <v>0</v>
      </c>
      <c r="E53">
        <v>10</v>
      </c>
      <c r="F53">
        <v>25</v>
      </c>
      <c r="G53">
        <v>27</v>
      </c>
      <c r="H53">
        <v>4</v>
      </c>
      <c r="I53">
        <v>200</v>
      </c>
      <c r="J53">
        <v>0</v>
      </c>
      <c r="K53" s="12" t="s">
        <v>24</v>
      </c>
      <c r="L53">
        <v>1201.4686999999999</v>
      </c>
      <c r="M53">
        <v>191.86699999999999</v>
      </c>
      <c r="N53" s="12" t="s">
        <v>112</v>
      </c>
      <c r="O53" s="12" t="s">
        <v>113</v>
      </c>
      <c r="P53">
        <v>-0.91610000000000003</v>
      </c>
      <c r="Q53">
        <v>0</v>
      </c>
      <c r="R53">
        <v>1</v>
      </c>
      <c r="S53">
        <v>1816</v>
      </c>
      <c r="T53" s="12" t="s">
        <v>114</v>
      </c>
      <c r="U53" s="12" t="s">
        <v>115</v>
      </c>
      <c r="V53" s="1">
        <v>46107.924224537041</v>
      </c>
    </row>
    <row r="54" spans="1:22" x14ac:dyDescent="0.3">
      <c r="A54" s="12" t="s">
        <v>22</v>
      </c>
      <c r="B54" s="12" t="s">
        <v>116</v>
      </c>
      <c r="C54">
        <v>0</v>
      </c>
      <c r="D54">
        <v>0</v>
      </c>
      <c r="E54">
        <v>10</v>
      </c>
      <c r="F54">
        <v>25</v>
      </c>
      <c r="G54">
        <v>27</v>
      </c>
      <c r="H54">
        <v>4</v>
      </c>
      <c r="I54">
        <v>200</v>
      </c>
      <c r="J54">
        <v>0</v>
      </c>
      <c r="K54" s="12" t="s">
        <v>24</v>
      </c>
      <c r="L54">
        <v>1201.4431999999999</v>
      </c>
      <c r="M54">
        <v>545.2921</v>
      </c>
      <c r="N54" s="12" t="s">
        <v>117</v>
      </c>
      <c r="O54" s="12" t="s">
        <v>117</v>
      </c>
      <c r="P54">
        <v>0</v>
      </c>
      <c r="Q54">
        <v>1</v>
      </c>
      <c r="R54">
        <v>25</v>
      </c>
      <c r="S54">
        <v>1920</v>
      </c>
      <c r="T54" s="12" t="s">
        <v>118</v>
      </c>
      <c r="U54" s="12" t="s">
        <v>119</v>
      </c>
      <c r="V54" s="1">
        <v>46107.944444444445</v>
      </c>
    </row>
    <row r="55" spans="1:22" x14ac:dyDescent="0.3">
      <c r="A55" s="12" t="s">
        <v>22</v>
      </c>
      <c r="B55" s="12" t="s">
        <v>120</v>
      </c>
      <c r="C55">
        <v>0</v>
      </c>
      <c r="D55">
        <v>0</v>
      </c>
      <c r="E55">
        <v>10</v>
      </c>
      <c r="F55">
        <v>25</v>
      </c>
      <c r="G55">
        <v>27</v>
      </c>
      <c r="H55">
        <v>5</v>
      </c>
      <c r="I55">
        <v>200</v>
      </c>
      <c r="J55">
        <v>0</v>
      </c>
      <c r="K55" s="12" t="s">
        <v>24</v>
      </c>
      <c r="L55">
        <v>69.622900000000001</v>
      </c>
      <c r="M55">
        <v>64.655000000000001</v>
      </c>
      <c r="N55" s="12" t="s">
        <v>121</v>
      </c>
      <c r="O55" s="12" t="s">
        <v>121</v>
      </c>
      <c r="P55">
        <v>0</v>
      </c>
      <c r="Q55">
        <v>1</v>
      </c>
      <c r="R55">
        <v>1</v>
      </c>
      <c r="S55">
        <v>1730</v>
      </c>
      <c r="T55" s="12" t="s">
        <v>122</v>
      </c>
      <c r="U55" s="12" t="s">
        <v>123</v>
      </c>
      <c r="V55" s="1">
        <v>46107.94599537037</v>
      </c>
    </row>
    <row r="56" spans="1:22" x14ac:dyDescent="0.3">
      <c r="A56" s="12" t="s">
        <v>22</v>
      </c>
      <c r="B56" s="12" t="s">
        <v>124</v>
      </c>
      <c r="C56">
        <v>0</v>
      </c>
      <c r="D56">
        <v>0</v>
      </c>
      <c r="E56">
        <v>10</v>
      </c>
      <c r="F56">
        <v>25</v>
      </c>
      <c r="G56">
        <v>27</v>
      </c>
      <c r="H56">
        <v>4</v>
      </c>
      <c r="I56">
        <v>200</v>
      </c>
      <c r="J56">
        <v>0</v>
      </c>
      <c r="K56" s="12" t="s">
        <v>24</v>
      </c>
      <c r="L56">
        <v>1201.7543000000001</v>
      </c>
      <c r="M56">
        <v>1085.3520000000001</v>
      </c>
      <c r="N56" s="12" t="s">
        <v>76</v>
      </c>
      <c r="O56" s="12" t="s">
        <v>125</v>
      </c>
      <c r="R56">
        <v>91</v>
      </c>
      <c r="S56">
        <v>2664</v>
      </c>
      <c r="T56" s="12" t="s">
        <v>126</v>
      </c>
      <c r="U56" s="12" t="s">
        <v>127</v>
      </c>
      <c r="V56" s="1">
        <v>46107.97246527778</v>
      </c>
    </row>
    <row r="57" spans="1:22" x14ac:dyDescent="0.3">
      <c r="A57" s="12" t="s">
        <v>22</v>
      </c>
      <c r="B57" s="12" t="s">
        <v>128</v>
      </c>
      <c r="C57">
        <v>0</v>
      </c>
      <c r="D57">
        <v>0</v>
      </c>
      <c r="E57">
        <v>10</v>
      </c>
      <c r="F57">
        <v>25</v>
      </c>
      <c r="G57">
        <v>27</v>
      </c>
      <c r="H57">
        <v>4</v>
      </c>
      <c r="I57">
        <v>200</v>
      </c>
      <c r="J57">
        <v>0</v>
      </c>
      <c r="K57" s="12" t="s">
        <v>24</v>
      </c>
      <c r="L57">
        <v>1201.4562000000001</v>
      </c>
      <c r="M57">
        <v>313.93610000000001</v>
      </c>
      <c r="N57" s="12" t="s">
        <v>129</v>
      </c>
      <c r="O57" s="12" t="s">
        <v>130</v>
      </c>
      <c r="P57">
        <v>-2.5415000000000001</v>
      </c>
      <c r="Q57">
        <v>0</v>
      </c>
      <c r="R57">
        <v>29</v>
      </c>
      <c r="S57">
        <v>1988</v>
      </c>
      <c r="T57" s="12" t="s">
        <v>131</v>
      </c>
      <c r="U57" s="12" t="s">
        <v>132</v>
      </c>
      <c r="V57" s="1">
        <v>46107.990011574075</v>
      </c>
    </row>
    <row r="58" spans="1:22" x14ac:dyDescent="0.3">
      <c r="A58" s="12" t="s">
        <v>22</v>
      </c>
      <c r="B58" s="12" t="s">
        <v>133</v>
      </c>
      <c r="C58">
        <v>0</v>
      </c>
      <c r="D58">
        <v>0</v>
      </c>
      <c r="E58">
        <v>10</v>
      </c>
      <c r="F58">
        <v>25</v>
      </c>
      <c r="G58">
        <v>27</v>
      </c>
      <c r="H58">
        <v>4</v>
      </c>
      <c r="I58">
        <v>200</v>
      </c>
      <c r="J58">
        <v>0</v>
      </c>
      <c r="K58" s="12" t="s">
        <v>24</v>
      </c>
      <c r="L58">
        <v>1201.4874</v>
      </c>
      <c r="M58">
        <v>3346.43</v>
      </c>
      <c r="N58" s="12" t="s">
        <v>134</v>
      </c>
      <c r="O58" s="12" t="s">
        <v>135</v>
      </c>
      <c r="P58">
        <v>0.73140000000000005</v>
      </c>
      <c r="Q58">
        <v>0</v>
      </c>
      <c r="R58">
        <v>559</v>
      </c>
      <c r="S58">
        <v>3936</v>
      </c>
      <c r="T58" s="12" t="s">
        <v>136</v>
      </c>
      <c r="U58" s="12" t="s">
        <v>137</v>
      </c>
      <c r="V58" s="1">
        <v>46108.042650462965</v>
      </c>
    </row>
    <row r="59" spans="1:22" x14ac:dyDescent="0.3">
      <c r="A59" s="12" t="s">
        <v>22</v>
      </c>
      <c r="B59" s="12" t="s">
        <v>138</v>
      </c>
      <c r="C59">
        <v>0</v>
      </c>
      <c r="D59">
        <v>0</v>
      </c>
      <c r="E59">
        <v>10</v>
      </c>
      <c r="F59">
        <v>25</v>
      </c>
      <c r="G59">
        <v>27</v>
      </c>
      <c r="H59">
        <v>3</v>
      </c>
      <c r="I59">
        <v>200</v>
      </c>
      <c r="J59">
        <v>0</v>
      </c>
      <c r="K59" s="12" t="s">
        <v>24</v>
      </c>
      <c r="L59">
        <v>3.8125</v>
      </c>
      <c r="M59">
        <v>3605.2732999999998</v>
      </c>
      <c r="N59" s="12" t="s">
        <v>139</v>
      </c>
      <c r="O59" s="12" t="s">
        <v>140</v>
      </c>
      <c r="P59">
        <v>3.7848999999999999</v>
      </c>
      <c r="Q59">
        <v>0</v>
      </c>
      <c r="R59">
        <v>212</v>
      </c>
      <c r="S59">
        <v>5661</v>
      </c>
      <c r="T59" s="12" t="s">
        <v>141</v>
      </c>
      <c r="U59" s="12" t="s">
        <v>142</v>
      </c>
      <c r="V59" s="1">
        <v>46108.084421296298</v>
      </c>
    </row>
    <row r="60" spans="1:22" x14ac:dyDescent="0.3">
      <c r="A60" s="12" t="s">
        <v>22</v>
      </c>
      <c r="B60" s="12" t="s">
        <v>143</v>
      </c>
      <c r="C60">
        <v>0</v>
      </c>
      <c r="D60">
        <v>0</v>
      </c>
      <c r="E60">
        <v>10</v>
      </c>
      <c r="F60">
        <v>25</v>
      </c>
      <c r="G60">
        <v>27</v>
      </c>
      <c r="H60">
        <v>3</v>
      </c>
      <c r="I60">
        <v>200</v>
      </c>
      <c r="J60">
        <v>0</v>
      </c>
      <c r="K60" s="12" t="s">
        <v>24</v>
      </c>
      <c r="L60">
        <v>1201.3277</v>
      </c>
      <c r="M60">
        <v>3647.1527000000001</v>
      </c>
      <c r="N60" s="12" t="s">
        <v>144</v>
      </c>
      <c r="O60" s="12" t="s">
        <v>145</v>
      </c>
      <c r="P60">
        <v>12.990600000000001</v>
      </c>
      <c r="Q60">
        <v>0</v>
      </c>
      <c r="R60">
        <v>165</v>
      </c>
      <c r="S60">
        <v>5613</v>
      </c>
      <c r="T60" s="12" t="s">
        <v>146</v>
      </c>
      <c r="U60" s="12" t="s">
        <v>147</v>
      </c>
      <c r="V60" s="1">
        <v>46108.140532407408</v>
      </c>
    </row>
    <row r="61" spans="1:22" x14ac:dyDescent="0.3">
      <c r="A61" s="12" t="s">
        <v>22</v>
      </c>
      <c r="B61" s="12" t="s">
        <v>148</v>
      </c>
      <c r="C61">
        <v>0</v>
      </c>
      <c r="D61">
        <v>0</v>
      </c>
      <c r="E61">
        <v>10</v>
      </c>
      <c r="F61">
        <v>25</v>
      </c>
      <c r="G61">
        <v>27</v>
      </c>
      <c r="H61">
        <v>3</v>
      </c>
      <c r="I61">
        <v>200</v>
      </c>
      <c r="J61">
        <v>0</v>
      </c>
      <c r="K61" s="12" t="s">
        <v>24</v>
      </c>
      <c r="L61">
        <v>1202.2618</v>
      </c>
      <c r="M61">
        <v>3715.3123999999998</v>
      </c>
      <c r="N61" s="12" t="s">
        <v>139</v>
      </c>
      <c r="O61" s="12" t="s">
        <v>149</v>
      </c>
      <c r="P61">
        <v>3.2025999999999999</v>
      </c>
      <c r="Q61">
        <v>0</v>
      </c>
      <c r="R61">
        <v>40</v>
      </c>
      <c r="S61">
        <v>5499</v>
      </c>
      <c r="T61" s="12" t="s">
        <v>150</v>
      </c>
      <c r="U61" s="12" t="s">
        <v>151</v>
      </c>
      <c r="V61" s="1">
        <v>46108.197453703702</v>
      </c>
    </row>
    <row r="62" spans="1:22" x14ac:dyDescent="0.3">
      <c r="A62" s="12" t="s">
        <v>22</v>
      </c>
      <c r="B62" s="12" t="s">
        <v>152</v>
      </c>
      <c r="C62">
        <v>0</v>
      </c>
      <c r="D62">
        <v>0</v>
      </c>
      <c r="E62">
        <v>10</v>
      </c>
      <c r="F62">
        <v>25</v>
      </c>
      <c r="G62">
        <v>27</v>
      </c>
      <c r="H62">
        <v>3</v>
      </c>
      <c r="I62">
        <v>200</v>
      </c>
      <c r="J62">
        <v>0</v>
      </c>
      <c r="K62" s="12" t="s">
        <v>24</v>
      </c>
      <c r="L62">
        <v>1202.3225</v>
      </c>
      <c r="M62">
        <v>3622.8786</v>
      </c>
      <c r="N62" s="12" t="s">
        <v>153</v>
      </c>
      <c r="O62" s="12" t="s">
        <v>154</v>
      </c>
      <c r="P62">
        <v>8.5396999999999998</v>
      </c>
      <c r="Q62">
        <v>0</v>
      </c>
      <c r="R62">
        <v>727</v>
      </c>
      <c r="S62">
        <v>6333</v>
      </c>
      <c r="T62" s="12" t="s">
        <v>155</v>
      </c>
      <c r="U62" s="12" t="s">
        <v>156</v>
      </c>
      <c r="V62" s="1">
        <v>46108.253298611111</v>
      </c>
    </row>
    <row r="63" spans="1:22" x14ac:dyDescent="0.3">
      <c r="A63" s="12" t="s">
        <v>22</v>
      </c>
      <c r="B63" s="12" t="s">
        <v>157</v>
      </c>
      <c r="C63">
        <v>0</v>
      </c>
      <c r="D63">
        <v>0</v>
      </c>
      <c r="E63">
        <v>10</v>
      </c>
      <c r="F63">
        <v>25</v>
      </c>
      <c r="G63">
        <v>27</v>
      </c>
      <c r="H63">
        <v>3</v>
      </c>
      <c r="I63">
        <v>200</v>
      </c>
      <c r="J63">
        <v>0</v>
      </c>
      <c r="K63" s="12" t="s">
        <v>24</v>
      </c>
      <c r="L63">
        <v>326.66539999999998</v>
      </c>
      <c r="M63">
        <v>3600.2022000000002</v>
      </c>
      <c r="N63" s="12" t="s">
        <v>139</v>
      </c>
      <c r="O63" s="12" t="s">
        <v>158</v>
      </c>
      <c r="P63">
        <v>4.8151000000000002</v>
      </c>
      <c r="Q63">
        <v>0</v>
      </c>
      <c r="R63">
        <v>252</v>
      </c>
      <c r="S63">
        <v>4818</v>
      </c>
      <c r="T63" s="12" t="s">
        <v>159</v>
      </c>
      <c r="U63" s="12" t="s">
        <v>160</v>
      </c>
      <c r="V63" s="1">
        <v>46108.298750000002</v>
      </c>
    </row>
    <row r="64" spans="1:22" x14ac:dyDescent="0.3">
      <c r="A64" s="12" t="s">
        <v>22</v>
      </c>
      <c r="B64" s="12" t="s">
        <v>161</v>
      </c>
      <c r="C64">
        <v>0</v>
      </c>
      <c r="D64">
        <v>0</v>
      </c>
      <c r="E64">
        <v>10</v>
      </c>
      <c r="F64">
        <v>25</v>
      </c>
      <c r="G64">
        <v>27</v>
      </c>
      <c r="H64">
        <v>3</v>
      </c>
      <c r="I64">
        <v>200</v>
      </c>
      <c r="J64">
        <v>0</v>
      </c>
      <c r="K64" s="12" t="s">
        <v>24</v>
      </c>
      <c r="L64">
        <v>1202.2047</v>
      </c>
      <c r="M64">
        <v>3616.8991000000001</v>
      </c>
      <c r="N64" s="12" t="s">
        <v>162</v>
      </c>
      <c r="O64" s="12" t="s">
        <v>163</v>
      </c>
      <c r="P64">
        <v>4.4718999999999998</v>
      </c>
      <c r="Q64">
        <v>0</v>
      </c>
      <c r="R64">
        <v>51</v>
      </c>
      <c r="S64">
        <v>1425</v>
      </c>
      <c r="T64" s="12" t="s">
        <v>164</v>
      </c>
      <c r="U64" s="12" t="s">
        <v>165</v>
      </c>
      <c r="V64" s="1">
        <v>46108.354525462964</v>
      </c>
    </row>
    <row r="65" spans="1:22" x14ac:dyDescent="0.3">
      <c r="A65" s="12" t="s">
        <v>22</v>
      </c>
      <c r="B65" s="12" t="s">
        <v>166</v>
      </c>
      <c r="C65">
        <v>0</v>
      </c>
      <c r="D65">
        <v>0</v>
      </c>
      <c r="E65">
        <v>10</v>
      </c>
      <c r="F65">
        <v>25</v>
      </c>
      <c r="G65">
        <v>27</v>
      </c>
      <c r="H65">
        <v>3</v>
      </c>
      <c r="I65">
        <v>200</v>
      </c>
      <c r="J65">
        <v>0</v>
      </c>
      <c r="K65" s="12" t="s">
        <v>24</v>
      </c>
      <c r="L65">
        <v>1203.0579</v>
      </c>
      <c r="M65">
        <v>3632.0882999999999</v>
      </c>
      <c r="N65" s="12" t="s">
        <v>167</v>
      </c>
      <c r="O65" s="12" t="s">
        <v>168</v>
      </c>
      <c r="P65">
        <v>0.78559999999999997</v>
      </c>
      <c r="Q65">
        <v>0</v>
      </c>
      <c r="R65">
        <v>59</v>
      </c>
      <c r="S65">
        <v>2862</v>
      </c>
      <c r="T65" s="12" t="s">
        <v>169</v>
      </c>
      <c r="U65" s="12" t="s">
        <v>170</v>
      </c>
      <c r="V65" s="1">
        <v>46108.410486111112</v>
      </c>
    </row>
    <row r="66" spans="1:22" x14ac:dyDescent="0.3">
      <c r="A66" s="12" t="s">
        <v>22</v>
      </c>
      <c r="B66" s="12" t="s">
        <v>171</v>
      </c>
      <c r="C66">
        <v>0</v>
      </c>
      <c r="D66">
        <v>0</v>
      </c>
      <c r="E66">
        <v>10</v>
      </c>
      <c r="F66">
        <v>25</v>
      </c>
      <c r="G66">
        <v>27</v>
      </c>
      <c r="H66">
        <v>3</v>
      </c>
      <c r="I66">
        <v>200</v>
      </c>
      <c r="J66">
        <v>0</v>
      </c>
      <c r="K66" s="12" t="s">
        <v>24</v>
      </c>
      <c r="L66">
        <v>1202.6677</v>
      </c>
      <c r="M66">
        <v>3738.8139999999999</v>
      </c>
      <c r="N66" s="12" t="s">
        <v>172</v>
      </c>
      <c r="O66" s="12" t="s">
        <v>172</v>
      </c>
      <c r="P66">
        <v>0</v>
      </c>
      <c r="Q66">
        <v>1</v>
      </c>
      <c r="R66">
        <v>136</v>
      </c>
      <c r="S66">
        <v>2850</v>
      </c>
      <c r="T66" s="12" t="s">
        <v>173</v>
      </c>
      <c r="U66" s="12" t="s">
        <v>174</v>
      </c>
      <c r="V66" s="1">
        <v>46108.467685185184</v>
      </c>
    </row>
    <row r="67" spans="1:22" x14ac:dyDescent="0.3">
      <c r="A67" s="12" t="s">
        <v>22</v>
      </c>
      <c r="B67" s="12" t="s">
        <v>79</v>
      </c>
      <c r="C67">
        <v>0</v>
      </c>
      <c r="D67">
        <v>0</v>
      </c>
      <c r="E67">
        <v>10</v>
      </c>
      <c r="F67">
        <v>25</v>
      </c>
      <c r="G67">
        <v>27</v>
      </c>
      <c r="H67">
        <v>3</v>
      </c>
      <c r="I67">
        <v>200</v>
      </c>
      <c r="J67">
        <v>0</v>
      </c>
      <c r="K67" s="12" t="s">
        <v>24</v>
      </c>
      <c r="L67">
        <v>0.76959999999999995</v>
      </c>
      <c r="M67">
        <v>226.69280000000001</v>
      </c>
      <c r="N67" s="12" t="s">
        <v>76</v>
      </c>
      <c r="O67" s="12" t="s">
        <v>76</v>
      </c>
      <c r="R67">
        <v>0</v>
      </c>
      <c r="S67">
        <v>0</v>
      </c>
      <c r="T67" s="12" t="s">
        <v>126</v>
      </c>
      <c r="U67" s="12" t="s">
        <v>61</v>
      </c>
      <c r="V67" s="1">
        <v>46108.470312500001</v>
      </c>
    </row>
    <row r="68" spans="1:22" x14ac:dyDescent="0.3">
      <c r="A68" s="12" t="s">
        <v>22</v>
      </c>
      <c r="B68" s="12" t="s">
        <v>89</v>
      </c>
      <c r="C68">
        <v>0</v>
      </c>
      <c r="D68">
        <v>0</v>
      </c>
      <c r="E68">
        <v>10</v>
      </c>
      <c r="F68">
        <v>25</v>
      </c>
      <c r="G68">
        <v>27</v>
      </c>
      <c r="H68">
        <v>3</v>
      </c>
      <c r="I68">
        <v>200</v>
      </c>
      <c r="J68">
        <v>0</v>
      </c>
      <c r="K68" s="12" t="s">
        <v>24</v>
      </c>
      <c r="L68">
        <v>514.19079999999997</v>
      </c>
      <c r="M68">
        <v>3600.0634</v>
      </c>
      <c r="N68" s="12" t="s">
        <v>76</v>
      </c>
      <c r="O68" s="12" t="s">
        <v>76</v>
      </c>
      <c r="R68">
        <v>0</v>
      </c>
      <c r="S68">
        <v>0</v>
      </c>
      <c r="T68" s="12" t="s">
        <v>126</v>
      </c>
      <c r="U68" s="12" t="s">
        <v>61</v>
      </c>
      <c r="V68" s="1">
        <v>46108.517928240741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3971-AAFA-47AA-8D36-D7D6C1D882D8}">
  <dimension ref="A1"/>
  <sheetViews>
    <sheetView workbookViewId="0">
      <selection activeCell="J9" sqref="J9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C427A1-E247-411E-A2B6-AA44AE999A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resultados_finais ANALISE COMPL</vt:lpstr>
      <vt:lpstr>artigo</vt:lpstr>
      <vt:lpstr>resultados_finais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Polyana Silva</dc:creator>
  <cp:lastModifiedBy>Dieferson gg</cp:lastModifiedBy>
  <dcterms:created xsi:type="dcterms:W3CDTF">2026-03-26T19:17:13Z</dcterms:created>
  <dcterms:modified xsi:type="dcterms:W3CDTF">2026-04-03T20:52:55Z</dcterms:modified>
</cp:coreProperties>
</file>