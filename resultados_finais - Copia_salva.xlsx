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olyanaSilva\Documents\BP_VRPTW\"/>
    </mc:Choice>
  </mc:AlternateContent>
  <xr:revisionPtr revIDLastSave="0" documentId="13_ncr:1_{F16662CC-DFAA-43F6-9198-710FF254D6F9}" xr6:coauthVersionLast="47" xr6:coauthVersionMax="47" xr10:uidLastSave="{00000000-0000-0000-0000-000000000000}"/>
  <bookViews>
    <workbookView xWindow="-24120" yWindow="-120" windowWidth="24240" windowHeight="13020" xr2:uid="{4E09473B-822A-43E9-9331-F4065B01EEC2}"/>
  </bookViews>
  <sheets>
    <sheet name="resultados_finais - Copia" sheetId="1" r:id="rId1"/>
    <sheet name="Planilh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8" i="1" l="1"/>
  <c r="O16" i="1"/>
  <c r="O17" i="1" s="1"/>
</calcChain>
</file>

<file path=xl/sharedStrings.xml><?xml version="1.0" encoding="utf-8"?>
<sst xmlns="http://schemas.openxmlformats.org/spreadsheetml/2006/main" count="197" uniqueCount="63">
  <si>
    <t>run_id</t>
  </si>
  <si>
    <t>arquivo_instancia</t>
  </si>
  <si>
    <t>ninst</t>
  </si>
  <si>
    <t>tem_janelas</t>
  </si>
  <si>
    <t>heuristica_retirada</t>
  </si>
  <si>
    <t>tamanho_clientes</t>
  </si>
  <si>
    <t>nos_rede</t>
  </si>
  <si>
    <t>veiculos</t>
  </si>
  <si>
    <t>capacidade</t>
  </si>
  <si>
    <t>tabu</t>
  </si>
  <si>
    <t>tipo_geracao</t>
  </si>
  <si>
    <t>tempo_exato</t>
  </si>
  <si>
    <t>tempo_bp</t>
  </si>
  <si>
    <t>fo_exato</t>
  </si>
  <si>
    <t>fo_bp</t>
  </si>
  <si>
    <t>gap_pct</t>
  </si>
  <si>
    <t>igual_exato</t>
  </si>
  <si>
    <t>nos_bp</t>
  </si>
  <si>
    <t>colunas_bp</t>
  </si>
  <si>
    <t>seq_exato</t>
  </si>
  <si>
    <t>seq_bp</t>
  </si>
  <si>
    <t>timestamp</t>
  </si>
  <si>
    <t>tam25_cap200_tabu0_inst0_cons10</t>
  </si>
  <si>
    <t>instancias/c101N,txt</t>
  </si>
  <si>
    <t>PD</t>
  </si>
  <si>
    <t>V0: [0,13,17,18,19,15,16,14,12,26] ; V1: [0,20,24,25,23,22,21,26] ; V2: [0,5,3,7,8,10,11,9,6,4,2,1,26]</t>
  </si>
  <si>
    <t>V0: [0,13,17,18,19,15,16,14,12,26] ; V1: [0,5,3,7,8,10,11,9,6,4,2,1,26] ; V2: [0,20,24,25,23,22,21,26]</t>
  </si>
  <si>
    <t>tam25_cap200_tabu0_inst0_cons0</t>
  </si>
  <si>
    <t>tam25_cap200_tabu0_inst0_cons1</t>
  </si>
  <si>
    <t>tam25_cap200_tabu0_inst0_cons2</t>
  </si>
  <si>
    <t>V0: [0,5,3,7,8,10,11,9,6,4,2,1,26] ; V1: [0,13,17,18,19,15,16,14,12,26] ; V2: [0,20,24,25,23,22,21,26]</t>
  </si>
  <si>
    <t>tam25_cap200_tabu0_inst0_cons3</t>
  </si>
  <si>
    <t>V0: [0,20,24,25,23,22,26] ; V1: [0,13,17,18,19,15,16,14,12,1,26] ; V2: [0,5,3,7,8,10,11,9,6,4,2,21,26]</t>
  </si>
  <si>
    <t>tam25_cap200_tabu0_inst1_cons10</t>
  </si>
  <si>
    <t>instancias/c101_multpJan_open,txt</t>
  </si>
  <si>
    <t>V0: [0,11,12,14,16,15,19,18,17,13,26] ; V1: [0,10,8,9,6,4,2,1,3,5,7,26] ; V2: [0,21,22,23,25,24,20,26]</t>
  </si>
  <si>
    <t>V0: [0,7,8,10,11,9,6,4,2,1,3,5,26] ; V1: [0,21,22,25,24,20,26] ; V2: [0,13,15,12,14,16,19,18,17,23,26]</t>
  </si>
  <si>
    <t>tam25_cap200_tabu0_inst1_cons0</t>
  </si>
  <si>
    <t>V0: [0,25,23,10,26] ; V1: [0,13,17,18,19,15,16,14,12,11,26] ; V2: [0,20,24,22,21,8,9,6,7,4,2,1,3,5,26]</t>
  </si>
  <si>
    <t>tam25_cap200_tabu0_inst1_cons1</t>
  </si>
  <si>
    <t>V0: [0,13,15,12,14,16,19,18,17,24,26] ; V1: [0,22,25,26] ; V2: [0,20,21,23,10,11,9,8,6,4,2,1,3,5,7,26]</t>
  </si>
  <si>
    <t>tam25_cap200_tabu0_inst1_cons2</t>
  </si>
  <si>
    <t>V0: [0,11,12,14,16,15,19,18,17,13,26] ; V1: [0,9,6,8,23,26] ; V2: [0,20,21,22,24,25,10,7,4,2,1,3,5,26]</t>
  </si>
  <si>
    <t>tam25_cap200_tabu0_inst1_cons3</t>
  </si>
  <si>
    <t>V0: [0,20,24,25,22,21,26] ; V1: [0,23,13,17,18,19,15,16,14,12,26] ; V2: [0,7,5,3,1,2,4,6,8,9,11,10,26]</t>
  </si>
  <si>
    <t>instancias/c102,txt</t>
  </si>
  <si>
    <t>1,907,376</t>
  </si>
  <si>
    <t>V0: [0,7,8,10,11,9,6,4,2,1,3,5,26] ; V1: [0,20,24,25,23,22,21,26] ; V2: [0,13,17,18,19,15,16,14,12,26]</t>
  </si>
  <si>
    <t>V0: [0,20,24,25,23,22,21,26] ; V1: [0,7,8,10,11,9,6,4,2,1,3,5,26] ; V2: [0,13,17,18,19,15,16,14,12,26]</t>
  </si>
  <si>
    <t>V0: [0,13,17,18,19,15,16,14,12,26] ; V1: [0,7,8,10,11,9,6,4,2,1,3,5,26] ; V2: [0,20,24,25,23,22,21,26]</t>
  </si>
  <si>
    <t>V0: [0,5,3,7,8,10,11,9,6,4,2,1,26] ; V1: [0,20,24,25,23,22,21,26] ; V2: [0,13,17,18,19,15,16,14,12,26]</t>
  </si>
  <si>
    <t>V0: [0,13,17,18,15,16,14,12,21,26] ; V1: [0,20,24,25,8,10,11,9,6,4,2,1,26] ; V2: [0,5,3,7,19,23,22,26]</t>
  </si>
  <si>
    <t>tam25_cap200_tabu0_inst0_cons22</t>
  </si>
  <si>
    <t>V0: [0,20,24,25,23,22,21,26] ; V1: [0,13,17,18,19,15,16,14,12,26] ; V2: [0,5,3,7,8,10,11,9,6,4,2,1,26]</t>
  </si>
  <si>
    <t>V0: [0,21,7,8,10,11,9,6,4,2,1,3,5,26] ; V1: [0,20,24,25,23,22,26] ; V2: [0,13,17,18,19,15,16,14,12,26]</t>
  </si>
  <si>
    <t>V0: [0,13,17,18,19,15,16,14,12,26] ; V1: [0,20,24,25,23,22,21,26] ; V2: [0,7,8,10,11,9,6,4,2,1,3,5,26]</t>
  </si>
  <si>
    <t>V0: [0,7,12,8,10,11,9,6,4,2,1,3,5,26] ; V1: [0,20,24,25,21,26] ; V2: [0,13,17,18,19,15,16,14,23,22,26]</t>
  </si>
  <si>
    <t>V0: [0,20,24,25,23,22,21,26] ; V1: [0,13,17,18,19,15,16,14,12,26] ; V2: [0,7,8,10,11,9,6,4,2,1,3,5,26]</t>
  </si>
  <si>
    <t>instancias/c103,txt</t>
  </si>
  <si>
    <t>493.51</t>
  </si>
  <si>
    <t>V0: [0,7,8,10,11,9,6,4,2,1,3,5,26] ; V1: [0,13,17,15,12,14,16,19,18,24,26] ; V2: [0,20,25,23,22,21,26]</t>
  </si>
  <si>
    <t>SEM_SEQUENCIA_BP</t>
  </si>
  <si>
    <t>tabixado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</si>
</sst>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89999084444715716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22" fontId="0" fillId="0" borderId="0" xfId="0" applyNumberFormat="1"/>
    <xf numFmtId="0" fontId="0" fillId="33" borderId="0" xfId="0" applyFill="1"/>
    <xf numFmtId="22" fontId="0" fillId="33" borderId="0" xfId="0" applyNumberFormat="1" applyFill="1"/>
    <xf numFmtId="0" fontId="0" fillId="34" borderId="0" xfId="0" applyFill="1"/>
    <xf numFmtId="22" fontId="0" fillId="34" borderId="0" xfId="0" applyNumberFormat="1" applyFill="1"/>
    <xf numFmtId="3" fontId="0" fillId="34" borderId="0" xfId="0" applyNumberFormat="1" applyFill="1"/>
    <xf numFmtId="3" fontId="0" fillId="0" borderId="0" xfId="0" applyNumberFormat="1"/>
    <xf numFmtId="4" fontId="0" fillId="0" borderId="0" xfId="0" applyNumberFormat="1"/>
    <xf numFmtId="4" fontId="0" fillId="34" borderId="0" xfId="0" applyNumberFormat="1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22" fontId="0" fillId="38" borderId="0" xfId="0" applyNumberFormat="1" applyFill="1"/>
    <xf numFmtId="0" fontId="0" fillId="39" borderId="0" xfId="0" applyFill="1"/>
    <xf numFmtId="0" fontId="0" fillId="0" borderId="10" xfId="0" applyBorder="1"/>
    <xf numFmtId="22" fontId="0" fillId="0" borderId="10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116506</xdr:colOff>
      <xdr:row>8</xdr:row>
      <xdr:rowOff>59838</xdr:rowOff>
    </xdr:from>
    <xdr:to>
      <xdr:col>34</xdr:col>
      <xdr:colOff>200021</xdr:colOff>
      <xdr:row>42</xdr:row>
      <xdr:rowOff>129829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A30C3B5-6DF8-7B4A-A1A5-6F09F915A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12035" y="1494191"/>
          <a:ext cx="7344927" cy="6165991"/>
        </a:xfrm>
        <a:prstGeom prst="rect">
          <a:avLst/>
        </a:prstGeom>
      </xdr:spPr>
    </xdr:pic>
    <xdr:clientData/>
  </xdr:twoCellAnchor>
  <xdr:twoCellAnchor>
    <xdr:from>
      <xdr:col>23</xdr:col>
      <xdr:colOff>125170</xdr:colOff>
      <xdr:row>15</xdr:row>
      <xdr:rowOff>59839</xdr:rowOff>
    </xdr:from>
    <xdr:to>
      <xdr:col>34</xdr:col>
      <xdr:colOff>78441</xdr:colOff>
      <xdr:row>15</xdr:row>
      <xdr:rowOff>59839</xdr:rowOff>
    </xdr:to>
    <xdr:cxnSp macro="">
      <xdr:nvCxnSpPr>
        <xdr:cNvPr id="4" name="Conector reto 3">
          <a:extLst>
            <a:ext uri="{FF2B5EF4-FFF2-40B4-BE49-F238E27FC236}">
              <a16:creationId xmlns:a16="http://schemas.microsoft.com/office/drawing/2014/main" id="{C58ED06C-8F41-69F3-2264-B7F9575CD2A1}"/>
            </a:ext>
          </a:extLst>
        </xdr:cNvPr>
        <xdr:cNvCxnSpPr/>
      </xdr:nvCxnSpPr>
      <xdr:spPr>
        <a:xfrm>
          <a:off x="17371023" y="2749251"/>
          <a:ext cx="6609565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147581</xdr:colOff>
      <xdr:row>18</xdr:row>
      <xdr:rowOff>71045</xdr:rowOff>
    </xdr:from>
    <xdr:to>
      <xdr:col>34</xdr:col>
      <xdr:colOff>98947</xdr:colOff>
      <xdr:row>18</xdr:row>
      <xdr:rowOff>71045</xdr:rowOff>
    </xdr:to>
    <xdr:cxnSp macro="">
      <xdr:nvCxnSpPr>
        <xdr:cNvPr id="6" name="Conector reto 5">
          <a:extLst>
            <a:ext uri="{FF2B5EF4-FFF2-40B4-BE49-F238E27FC236}">
              <a16:creationId xmlns:a16="http://schemas.microsoft.com/office/drawing/2014/main" id="{BB7DE8A2-A8A6-48A5-B848-FA0188F8300F}"/>
            </a:ext>
          </a:extLst>
        </xdr:cNvPr>
        <xdr:cNvCxnSpPr/>
      </xdr:nvCxnSpPr>
      <xdr:spPr>
        <a:xfrm>
          <a:off x="17393434" y="3298339"/>
          <a:ext cx="6607660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132566</xdr:colOff>
      <xdr:row>21</xdr:row>
      <xdr:rowOff>113964</xdr:rowOff>
    </xdr:from>
    <xdr:to>
      <xdr:col>34</xdr:col>
      <xdr:colOff>85837</xdr:colOff>
      <xdr:row>21</xdr:row>
      <xdr:rowOff>113964</xdr:rowOff>
    </xdr:to>
    <xdr:cxnSp macro="">
      <xdr:nvCxnSpPr>
        <xdr:cNvPr id="7" name="Conector reto 6">
          <a:extLst>
            <a:ext uri="{FF2B5EF4-FFF2-40B4-BE49-F238E27FC236}">
              <a16:creationId xmlns:a16="http://schemas.microsoft.com/office/drawing/2014/main" id="{F0271DAF-A7B3-40B2-B28E-0213505BA220}"/>
            </a:ext>
          </a:extLst>
        </xdr:cNvPr>
        <xdr:cNvCxnSpPr/>
      </xdr:nvCxnSpPr>
      <xdr:spPr>
        <a:xfrm>
          <a:off x="12033213" y="3879140"/>
          <a:ext cx="6609565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181199</xdr:colOff>
      <xdr:row>24</xdr:row>
      <xdr:rowOff>147581</xdr:rowOff>
    </xdr:from>
    <xdr:to>
      <xdr:col>34</xdr:col>
      <xdr:colOff>132565</xdr:colOff>
      <xdr:row>24</xdr:row>
      <xdr:rowOff>147581</xdr:rowOff>
    </xdr:to>
    <xdr:cxnSp macro="">
      <xdr:nvCxnSpPr>
        <xdr:cNvPr id="8" name="Conector reto 7">
          <a:extLst>
            <a:ext uri="{FF2B5EF4-FFF2-40B4-BE49-F238E27FC236}">
              <a16:creationId xmlns:a16="http://schemas.microsoft.com/office/drawing/2014/main" id="{741E3134-EBE8-468E-9969-C70E23D54844}"/>
            </a:ext>
          </a:extLst>
        </xdr:cNvPr>
        <xdr:cNvCxnSpPr/>
      </xdr:nvCxnSpPr>
      <xdr:spPr>
        <a:xfrm>
          <a:off x="17427052" y="4450640"/>
          <a:ext cx="6607660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224118</xdr:colOff>
      <xdr:row>27</xdr:row>
      <xdr:rowOff>134471</xdr:rowOff>
    </xdr:from>
    <xdr:to>
      <xdr:col>34</xdr:col>
      <xdr:colOff>175484</xdr:colOff>
      <xdr:row>27</xdr:row>
      <xdr:rowOff>134471</xdr:rowOff>
    </xdr:to>
    <xdr:cxnSp macro="">
      <xdr:nvCxnSpPr>
        <xdr:cNvPr id="9" name="Conector reto 8">
          <a:extLst>
            <a:ext uri="{FF2B5EF4-FFF2-40B4-BE49-F238E27FC236}">
              <a16:creationId xmlns:a16="http://schemas.microsoft.com/office/drawing/2014/main" id="{42BEF680-D53B-43E9-9DF6-201C56699D0F}"/>
            </a:ext>
          </a:extLst>
        </xdr:cNvPr>
        <xdr:cNvCxnSpPr/>
      </xdr:nvCxnSpPr>
      <xdr:spPr>
        <a:xfrm>
          <a:off x="17469971" y="4975412"/>
          <a:ext cx="6607660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166183</xdr:colOff>
      <xdr:row>30</xdr:row>
      <xdr:rowOff>164278</xdr:rowOff>
    </xdr:from>
    <xdr:to>
      <xdr:col>34</xdr:col>
      <xdr:colOff>117549</xdr:colOff>
      <xdr:row>30</xdr:row>
      <xdr:rowOff>164278</xdr:rowOff>
    </xdr:to>
    <xdr:cxnSp macro="">
      <xdr:nvCxnSpPr>
        <xdr:cNvPr id="10" name="Conector reto 9">
          <a:extLst>
            <a:ext uri="{FF2B5EF4-FFF2-40B4-BE49-F238E27FC236}">
              <a16:creationId xmlns:a16="http://schemas.microsoft.com/office/drawing/2014/main" id="{85DD900F-CB80-46D3-8C2E-7806145E5093}"/>
            </a:ext>
          </a:extLst>
        </xdr:cNvPr>
        <xdr:cNvCxnSpPr/>
      </xdr:nvCxnSpPr>
      <xdr:spPr>
        <a:xfrm>
          <a:off x="17412036" y="5543102"/>
          <a:ext cx="6607660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506730</xdr:colOff>
      <xdr:row>0</xdr:row>
      <xdr:rowOff>0</xdr:rowOff>
    </xdr:from>
    <xdr:to>
      <xdr:col>23</xdr:col>
      <xdr:colOff>116668</xdr:colOff>
      <xdr:row>30</xdr:row>
      <xdr:rowOff>9785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45027FB-5573-64FB-93A7-0E1AE4D43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41130" y="0"/>
          <a:ext cx="5096338" cy="54390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CC053-B091-4F0E-9304-72B9D3E6B324}">
  <dimension ref="A1:V38"/>
  <sheetViews>
    <sheetView tabSelected="1" topLeftCell="B1" zoomScale="85" zoomScaleNormal="85" workbookViewId="0">
      <pane ySplit="1" topLeftCell="A12" activePane="bottomLeft" state="frozen"/>
      <selection activeCell="B1" sqref="B1"/>
      <selection pane="bottomLeft" activeCell="R20" sqref="R20"/>
    </sheetView>
  </sheetViews>
  <sheetFormatPr defaultRowHeight="14.4" x14ac:dyDescent="0.3"/>
  <cols>
    <col min="1" max="1" width="7.5546875" customWidth="1"/>
    <col min="2" max="2" width="35.44140625" customWidth="1"/>
    <col min="6" max="11" width="0" hidden="1" customWidth="1"/>
    <col min="12" max="12" width="11.21875" bestFit="1" customWidth="1"/>
    <col min="15" max="15" width="9.109375" bestFit="1" customWidth="1"/>
    <col min="19" max="19" width="14.88671875" customWidth="1"/>
    <col min="21" max="21" width="4.33203125" customWidth="1"/>
    <col min="22" max="22" width="2.77734375" customWidth="1"/>
  </cols>
  <sheetData>
    <row r="1" spans="1:2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3">
      <c r="M2">
        <v>18</v>
      </c>
    </row>
    <row r="3" spans="1:22" s="2" customFormat="1" x14ac:dyDescent="0.3">
      <c r="A3" s="2" t="s">
        <v>22</v>
      </c>
      <c r="B3" s="2" t="s">
        <v>23</v>
      </c>
      <c r="C3" s="2">
        <v>0</v>
      </c>
      <c r="D3" s="2">
        <v>1</v>
      </c>
      <c r="E3" s="2">
        <v>10</v>
      </c>
      <c r="F3" s="2">
        <v>25</v>
      </c>
      <c r="G3" s="2">
        <v>27</v>
      </c>
      <c r="H3" s="2">
        <v>3</v>
      </c>
      <c r="I3" s="2">
        <v>200</v>
      </c>
      <c r="J3" s="2">
        <v>0</v>
      </c>
      <c r="K3" s="2" t="s">
        <v>24</v>
      </c>
      <c r="L3" s="2">
        <v>0.2858</v>
      </c>
      <c r="M3" s="2">
        <v>205.2841</v>
      </c>
      <c r="N3" s="2">
        <v>191.81360000000001</v>
      </c>
      <c r="O3" s="2">
        <v>191.81360000000001</v>
      </c>
      <c r="P3" s="2">
        <v>0</v>
      </c>
      <c r="Q3" s="2">
        <v>1</v>
      </c>
      <c r="R3" s="2">
        <v>1</v>
      </c>
      <c r="S3" s="2">
        <v>423</v>
      </c>
      <c r="T3" s="2" t="s">
        <v>25</v>
      </c>
      <c r="U3" s="2" t="s">
        <v>26</v>
      </c>
      <c r="V3" s="3">
        <v>46106.768750000003</v>
      </c>
    </row>
    <row r="4" spans="1:22" x14ac:dyDescent="0.3">
      <c r="A4" t="s">
        <v>27</v>
      </c>
      <c r="B4" t="s">
        <v>23</v>
      </c>
      <c r="C4">
        <v>0</v>
      </c>
      <c r="D4">
        <v>1</v>
      </c>
      <c r="E4">
        <v>0</v>
      </c>
      <c r="F4">
        <v>25</v>
      </c>
      <c r="G4">
        <v>27</v>
      </c>
      <c r="H4">
        <v>3</v>
      </c>
      <c r="I4">
        <v>200</v>
      </c>
      <c r="J4">
        <v>0</v>
      </c>
      <c r="K4" t="s">
        <v>24</v>
      </c>
      <c r="L4">
        <v>0.2858</v>
      </c>
      <c r="M4">
        <v>222.3433</v>
      </c>
      <c r="N4">
        <v>191.81360000000001</v>
      </c>
      <c r="O4">
        <v>191.81360000000001</v>
      </c>
      <c r="P4">
        <v>0</v>
      </c>
      <c r="Q4">
        <v>1</v>
      </c>
      <c r="R4">
        <v>1</v>
      </c>
      <c r="S4">
        <v>273</v>
      </c>
      <c r="T4" t="s">
        <v>25</v>
      </c>
      <c r="U4" t="s">
        <v>25</v>
      </c>
      <c r="V4" s="1">
        <v>46106.776388888888</v>
      </c>
    </row>
    <row r="5" spans="1:22" x14ac:dyDescent="0.3">
      <c r="A5" t="s">
        <v>28</v>
      </c>
      <c r="B5" t="s">
        <v>23</v>
      </c>
      <c r="C5">
        <v>0</v>
      </c>
      <c r="D5">
        <v>1</v>
      </c>
      <c r="E5">
        <v>1</v>
      </c>
      <c r="F5">
        <v>25</v>
      </c>
      <c r="G5">
        <v>27</v>
      </c>
      <c r="H5">
        <v>3</v>
      </c>
      <c r="I5">
        <v>200</v>
      </c>
      <c r="J5">
        <v>0</v>
      </c>
      <c r="K5" t="s">
        <v>24</v>
      </c>
      <c r="L5">
        <v>0.2858</v>
      </c>
      <c r="M5">
        <v>377.93639999999999</v>
      </c>
      <c r="N5">
        <v>191.81360000000001</v>
      </c>
      <c r="O5">
        <v>191.81360000000001</v>
      </c>
      <c r="P5">
        <v>0</v>
      </c>
      <c r="Q5">
        <v>1</v>
      </c>
      <c r="R5">
        <v>1</v>
      </c>
      <c r="S5">
        <v>393</v>
      </c>
      <c r="T5" t="s">
        <v>25</v>
      </c>
      <c r="U5" t="s">
        <v>26</v>
      </c>
      <c r="V5" s="1">
        <v>46106.780555555553</v>
      </c>
    </row>
    <row r="6" spans="1:22" x14ac:dyDescent="0.3">
      <c r="A6" t="s">
        <v>29</v>
      </c>
      <c r="B6" t="s">
        <v>23</v>
      </c>
      <c r="C6">
        <v>0</v>
      </c>
      <c r="D6">
        <v>1</v>
      </c>
      <c r="E6">
        <v>2</v>
      </c>
      <c r="F6">
        <v>25</v>
      </c>
      <c r="G6">
        <v>27</v>
      </c>
      <c r="H6">
        <v>3</v>
      </c>
      <c r="I6">
        <v>200</v>
      </c>
      <c r="J6">
        <v>0</v>
      </c>
      <c r="K6" t="s">
        <v>24</v>
      </c>
      <c r="L6">
        <v>0.2858</v>
      </c>
      <c r="M6">
        <v>539.49019999999996</v>
      </c>
      <c r="N6">
        <v>191.81360000000001</v>
      </c>
      <c r="O6">
        <v>191.81360000000001</v>
      </c>
      <c r="P6">
        <v>0</v>
      </c>
      <c r="Q6">
        <v>1</v>
      </c>
      <c r="R6">
        <v>1</v>
      </c>
      <c r="S6">
        <v>509</v>
      </c>
      <c r="T6" t="s">
        <v>25</v>
      </c>
      <c r="U6" t="s">
        <v>30</v>
      </c>
      <c r="V6" s="1">
        <v>46106.786805555559</v>
      </c>
    </row>
    <row r="7" spans="1:22" x14ac:dyDescent="0.3">
      <c r="A7" t="s">
        <v>31</v>
      </c>
      <c r="B7" t="s">
        <v>23</v>
      </c>
      <c r="C7">
        <v>0</v>
      </c>
      <c r="D7">
        <v>1</v>
      </c>
      <c r="E7">
        <v>3</v>
      </c>
      <c r="F7">
        <v>25</v>
      </c>
      <c r="G7">
        <v>27</v>
      </c>
      <c r="H7">
        <v>3</v>
      </c>
      <c r="I7">
        <v>200</v>
      </c>
      <c r="J7">
        <v>0</v>
      </c>
      <c r="K7" t="s">
        <v>24</v>
      </c>
      <c r="L7">
        <v>0.2858</v>
      </c>
      <c r="M7">
        <v>803.63969999999995</v>
      </c>
      <c r="N7">
        <v>191.81360000000001</v>
      </c>
      <c r="O7">
        <v>211.57980000000001</v>
      </c>
      <c r="P7">
        <v>10.3049</v>
      </c>
      <c r="Q7">
        <v>0</v>
      </c>
      <c r="R7" s="10">
        <v>45</v>
      </c>
      <c r="S7">
        <v>1050</v>
      </c>
      <c r="T7" t="s">
        <v>25</v>
      </c>
      <c r="U7" t="s">
        <v>32</v>
      </c>
      <c r="V7" s="1">
        <v>46106.796527777777</v>
      </c>
    </row>
    <row r="8" spans="1:22" x14ac:dyDescent="0.3">
      <c r="A8" t="s">
        <v>31</v>
      </c>
      <c r="B8" t="s">
        <v>23</v>
      </c>
      <c r="C8">
        <v>0</v>
      </c>
      <c r="D8">
        <v>1</v>
      </c>
      <c r="E8">
        <v>22</v>
      </c>
      <c r="F8">
        <v>25</v>
      </c>
      <c r="G8">
        <v>27</v>
      </c>
      <c r="H8">
        <v>3</v>
      </c>
      <c r="I8">
        <v>200</v>
      </c>
      <c r="J8">
        <v>0</v>
      </c>
      <c r="K8" t="s">
        <v>24</v>
      </c>
      <c r="L8">
        <v>0.2858</v>
      </c>
      <c r="M8">
        <v>3365</v>
      </c>
      <c r="N8">
        <v>191.81360000000001</v>
      </c>
      <c r="O8">
        <v>191.81360000000001</v>
      </c>
      <c r="P8">
        <v>0</v>
      </c>
      <c r="Q8">
        <v>0</v>
      </c>
      <c r="R8">
        <v>1</v>
      </c>
      <c r="S8">
        <v>354</v>
      </c>
      <c r="T8" t="s">
        <v>25</v>
      </c>
      <c r="U8" t="s">
        <v>32</v>
      </c>
      <c r="V8" s="1">
        <v>46106.796527777777</v>
      </c>
    </row>
    <row r="9" spans="1:22" x14ac:dyDescent="0.3">
      <c r="A9" t="s">
        <v>33</v>
      </c>
      <c r="B9" t="s">
        <v>34</v>
      </c>
      <c r="C9">
        <v>1</v>
      </c>
      <c r="D9">
        <v>0</v>
      </c>
      <c r="E9">
        <v>10</v>
      </c>
      <c r="F9">
        <v>25</v>
      </c>
      <c r="G9">
        <v>27</v>
      </c>
      <c r="H9">
        <v>3</v>
      </c>
      <c r="I9">
        <v>200</v>
      </c>
      <c r="J9">
        <v>0</v>
      </c>
      <c r="K9" t="s">
        <v>24</v>
      </c>
      <c r="L9">
        <v>1203.0710999999999</v>
      </c>
      <c r="M9">
        <v>3766.1898999999999</v>
      </c>
      <c r="N9">
        <v>188.04929999999999</v>
      </c>
      <c r="O9">
        <v>189.30410000000001</v>
      </c>
      <c r="P9">
        <v>0.6673</v>
      </c>
      <c r="Q9">
        <v>0</v>
      </c>
      <c r="R9">
        <v>4</v>
      </c>
      <c r="S9">
        <v>742</v>
      </c>
      <c r="T9" t="s">
        <v>35</v>
      </c>
      <c r="U9" t="s">
        <v>36</v>
      </c>
      <c r="V9" s="1">
        <v>46106.853472222225</v>
      </c>
    </row>
    <row r="10" spans="1:22" x14ac:dyDescent="0.3">
      <c r="A10" t="s">
        <v>37</v>
      </c>
      <c r="B10" t="s">
        <v>34</v>
      </c>
      <c r="C10">
        <v>1</v>
      </c>
      <c r="D10">
        <v>0</v>
      </c>
      <c r="E10">
        <v>0</v>
      </c>
      <c r="F10">
        <v>25</v>
      </c>
      <c r="G10">
        <v>27</v>
      </c>
      <c r="H10">
        <v>3</v>
      </c>
      <c r="I10">
        <v>200</v>
      </c>
      <c r="J10">
        <v>0</v>
      </c>
      <c r="K10" t="s">
        <v>24</v>
      </c>
      <c r="L10">
        <v>1203.0710999999999</v>
      </c>
      <c r="M10">
        <v>4701.9394000000002</v>
      </c>
      <c r="N10">
        <v>188.04929999999999</v>
      </c>
      <c r="O10">
        <v>219.4</v>
      </c>
      <c r="P10">
        <v>16.671500000000002</v>
      </c>
      <c r="Q10">
        <v>0</v>
      </c>
      <c r="R10">
        <v>7</v>
      </c>
      <c r="S10">
        <v>1071</v>
      </c>
      <c r="T10" t="s">
        <v>35</v>
      </c>
      <c r="U10" t="s">
        <v>38</v>
      </c>
      <c r="V10" s="1">
        <v>46106.908333333333</v>
      </c>
    </row>
    <row r="11" spans="1:22" x14ac:dyDescent="0.3">
      <c r="A11" t="s">
        <v>39</v>
      </c>
      <c r="B11" t="s">
        <v>34</v>
      </c>
      <c r="C11">
        <v>1</v>
      </c>
      <c r="D11">
        <v>0</v>
      </c>
      <c r="E11">
        <v>1</v>
      </c>
      <c r="F11">
        <v>25</v>
      </c>
      <c r="G11">
        <v>27</v>
      </c>
      <c r="H11">
        <v>3</v>
      </c>
      <c r="I11">
        <v>200</v>
      </c>
      <c r="J11">
        <v>0</v>
      </c>
      <c r="K11" t="s">
        <v>24</v>
      </c>
      <c r="L11">
        <v>1203.0710999999999</v>
      </c>
      <c r="M11">
        <v>3618.8218000000002</v>
      </c>
      <c r="N11">
        <v>188.04929999999999</v>
      </c>
      <c r="O11">
        <v>204.3185</v>
      </c>
      <c r="P11">
        <v>8.6516000000000002</v>
      </c>
      <c r="Q11">
        <v>0</v>
      </c>
      <c r="R11">
        <v>30</v>
      </c>
      <c r="S11">
        <v>1519</v>
      </c>
      <c r="T11" t="s">
        <v>35</v>
      </c>
      <c r="U11" t="s">
        <v>40</v>
      </c>
      <c r="V11" s="1">
        <v>46106.95</v>
      </c>
    </row>
    <row r="12" spans="1:22" x14ac:dyDescent="0.3">
      <c r="A12" t="s">
        <v>41</v>
      </c>
      <c r="B12" t="s">
        <v>34</v>
      </c>
      <c r="C12">
        <v>1</v>
      </c>
      <c r="D12">
        <v>0</v>
      </c>
      <c r="E12">
        <v>2</v>
      </c>
      <c r="F12">
        <v>25</v>
      </c>
      <c r="G12">
        <v>27</v>
      </c>
      <c r="H12">
        <v>3</v>
      </c>
      <c r="I12">
        <v>200</v>
      </c>
      <c r="J12">
        <v>0</v>
      </c>
      <c r="K12" t="s">
        <v>24</v>
      </c>
      <c r="L12">
        <v>1203.0710999999999</v>
      </c>
      <c r="M12">
        <v>4049.2914000000001</v>
      </c>
      <c r="N12">
        <v>188.04929999999999</v>
      </c>
      <c r="O12">
        <v>220.27629999999999</v>
      </c>
      <c r="P12">
        <v>17.137499999999999</v>
      </c>
      <c r="Q12">
        <v>0</v>
      </c>
      <c r="R12">
        <v>36</v>
      </c>
      <c r="S12">
        <v>2106</v>
      </c>
      <c r="T12" t="s">
        <v>35</v>
      </c>
      <c r="U12" t="s">
        <v>42</v>
      </c>
      <c r="V12" s="1">
        <v>46106.99722222222</v>
      </c>
    </row>
    <row r="13" spans="1:22" x14ac:dyDescent="0.3">
      <c r="A13" t="s">
        <v>43</v>
      </c>
      <c r="B13" t="s">
        <v>34</v>
      </c>
      <c r="C13">
        <v>1</v>
      </c>
      <c r="D13">
        <v>0</v>
      </c>
      <c r="E13" s="11">
        <v>3</v>
      </c>
      <c r="F13">
        <v>25</v>
      </c>
      <c r="G13">
        <v>27</v>
      </c>
      <c r="H13">
        <v>3</v>
      </c>
      <c r="I13">
        <v>200</v>
      </c>
      <c r="J13">
        <v>0</v>
      </c>
      <c r="K13" t="s">
        <v>24</v>
      </c>
      <c r="L13">
        <v>1203.0710999999999</v>
      </c>
      <c r="M13">
        <v>1269.6313</v>
      </c>
      <c r="N13">
        <v>188.04929999999999</v>
      </c>
      <c r="O13">
        <v>189.00219999999999</v>
      </c>
      <c r="P13" s="11">
        <v>0.50670000000000004</v>
      </c>
      <c r="Q13">
        <v>0</v>
      </c>
      <c r="R13">
        <v>43</v>
      </c>
      <c r="S13">
        <v>1855</v>
      </c>
      <c r="T13" t="s">
        <v>35</v>
      </c>
      <c r="U13" t="s">
        <v>44</v>
      </c>
      <c r="V13" s="1">
        <v>46107.011805555558</v>
      </c>
    </row>
    <row r="14" spans="1:22" x14ac:dyDescent="0.3">
      <c r="E14" s="11"/>
      <c r="M14">
        <v>79</v>
      </c>
      <c r="P14" s="11"/>
      <c r="V14" s="1"/>
    </row>
    <row r="15" spans="1:22" s="4" customFormat="1" x14ac:dyDescent="0.3">
      <c r="A15" s="4" t="s">
        <v>22</v>
      </c>
      <c r="B15" s="4" t="s">
        <v>45</v>
      </c>
      <c r="C15" s="4">
        <v>0</v>
      </c>
      <c r="D15" s="4">
        <v>0</v>
      </c>
      <c r="E15" s="4">
        <v>10</v>
      </c>
      <c r="F15" s="4">
        <v>25</v>
      </c>
      <c r="G15" s="4">
        <v>27</v>
      </c>
      <c r="H15" s="4">
        <v>3</v>
      </c>
      <c r="I15" s="4">
        <v>200</v>
      </c>
      <c r="J15" s="4">
        <v>0</v>
      </c>
      <c r="K15" s="4" t="s">
        <v>24</v>
      </c>
      <c r="L15" s="4">
        <v>209.893</v>
      </c>
      <c r="M15" s="4">
        <v>765</v>
      </c>
      <c r="N15" s="4" t="s">
        <v>46</v>
      </c>
      <c r="O15" s="6">
        <v>1907376</v>
      </c>
      <c r="P15" s="4">
        <v>0</v>
      </c>
      <c r="Q15" s="4">
        <v>1</v>
      </c>
      <c r="R15" s="4">
        <v>1</v>
      </c>
      <c r="S15" s="4">
        <v>615</v>
      </c>
      <c r="T15" s="4" t="s">
        <v>47</v>
      </c>
      <c r="U15" s="4" t="s">
        <v>48</v>
      </c>
      <c r="V15" s="5">
        <v>46107.377083333333</v>
      </c>
    </row>
    <row r="16" spans="1:22" x14ac:dyDescent="0.3">
      <c r="A16" t="s">
        <v>27</v>
      </c>
      <c r="B16" t="s">
        <v>45</v>
      </c>
      <c r="C16">
        <v>0</v>
      </c>
      <c r="D16">
        <v>0</v>
      </c>
      <c r="E16">
        <v>0</v>
      </c>
      <c r="F16">
        <v>25</v>
      </c>
      <c r="G16">
        <v>27</v>
      </c>
      <c r="H16">
        <v>3</v>
      </c>
      <c r="I16">
        <v>200</v>
      </c>
      <c r="J16">
        <v>0</v>
      </c>
      <c r="K16" t="s">
        <v>24</v>
      </c>
      <c r="L16">
        <v>209.893</v>
      </c>
      <c r="M16">
        <v>914</v>
      </c>
      <c r="N16" t="s">
        <v>46</v>
      </c>
      <c r="O16" s="7">
        <f>O15</f>
        <v>1907376</v>
      </c>
      <c r="P16">
        <v>0</v>
      </c>
      <c r="Q16">
        <v>1</v>
      </c>
      <c r="R16">
        <v>1</v>
      </c>
      <c r="S16">
        <v>525</v>
      </c>
      <c r="T16" t="s">
        <v>47</v>
      </c>
      <c r="U16" t="s">
        <v>48</v>
      </c>
      <c r="V16" s="1">
        <v>46107.387499999997</v>
      </c>
    </row>
    <row r="17" spans="1:22" x14ac:dyDescent="0.3">
      <c r="A17" t="s">
        <v>28</v>
      </c>
      <c r="B17" t="s">
        <v>45</v>
      </c>
      <c r="C17">
        <v>0</v>
      </c>
      <c r="D17">
        <v>0</v>
      </c>
      <c r="E17">
        <v>1</v>
      </c>
      <c r="F17">
        <v>25</v>
      </c>
      <c r="G17">
        <v>27</v>
      </c>
      <c r="H17">
        <v>3</v>
      </c>
      <c r="I17">
        <v>200</v>
      </c>
      <c r="J17">
        <v>0</v>
      </c>
      <c r="K17" t="s">
        <v>24</v>
      </c>
      <c r="L17">
        <v>273.23700000000002</v>
      </c>
      <c r="M17">
        <v>842</v>
      </c>
      <c r="N17" t="s">
        <v>46</v>
      </c>
      <c r="O17" s="7">
        <f>O16</f>
        <v>1907376</v>
      </c>
      <c r="P17">
        <v>0</v>
      </c>
      <c r="Q17">
        <v>1</v>
      </c>
      <c r="R17">
        <v>1</v>
      </c>
      <c r="S17">
        <v>596</v>
      </c>
      <c r="T17" t="s">
        <v>47</v>
      </c>
      <c r="U17" t="s">
        <v>49</v>
      </c>
      <c r="V17" s="1">
        <v>46107.444444444445</v>
      </c>
    </row>
    <row r="18" spans="1:22" x14ac:dyDescent="0.3">
      <c r="A18" t="s">
        <v>22</v>
      </c>
      <c r="B18" t="s">
        <v>23</v>
      </c>
      <c r="C18">
        <v>0</v>
      </c>
      <c r="D18">
        <v>0</v>
      </c>
      <c r="E18">
        <v>10</v>
      </c>
      <c r="F18">
        <v>25</v>
      </c>
      <c r="G18">
        <v>27</v>
      </c>
      <c r="H18">
        <v>3</v>
      </c>
      <c r="I18">
        <v>200</v>
      </c>
      <c r="J18">
        <v>0</v>
      </c>
      <c r="K18" t="s">
        <v>24</v>
      </c>
      <c r="L18">
        <v>0.27550000000000002</v>
      </c>
      <c r="M18">
        <v>188.95740000000001</v>
      </c>
      <c r="N18">
        <v>191.81360000000001</v>
      </c>
      <c r="O18">
        <v>191.81360000000001</v>
      </c>
      <c r="P18">
        <v>0</v>
      </c>
      <c r="Q18">
        <v>1</v>
      </c>
      <c r="R18">
        <v>1</v>
      </c>
      <c r="S18">
        <v>975</v>
      </c>
      <c r="T18" t="s">
        <v>25</v>
      </c>
      <c r="U18" t="s">
        <v>50</v>
      </c>
      <c r="V18" s="1">
        <v>46107.493611111109</v>
      </c>
    </row>
    <row r="19" spans="1:22" x14ac:dyDescent="0.3">
      <c r="A19" t="s">
        <v>22</v>
      </c>
      <c r="B19" t="s">
        <v>23</v>
      </c>
      <c r="C19">
        <v>0</v>
      </c>
      <c r="D19">
        <v>0</v>
      </c>
      <c r="E19">
        <v>10</v>
      </c>
      <c r="F19">
        <v>25</v>
      </c>
      <c r="G19">
        <v>27</v>
      </c>
      <c r="H19">
        <v>3</v>
      </c>
      <c r="I19">
        <v>200</v>
      </c>
      <c r="J19">
        <v>0</v>
      </c>
      <c r="K19" t="s">
        <v>24</v>
      </c>
      <c r="L19">
        <v>0.2873</v>
      </c>
      <c r="M19">
        <v>174.7843</v>
      </c>
      <c r="N19">
        <v>191.81360000000001</v>
      </c>
      <c r="O19">
        <v>191.81360000000001</v>
      </c>
      <c r="P19">
        <v>0</v>
      </c>
      <c r="Q19">
        <v>1</v>
      </c>
      <c r="R19">
        <v>1</v>
      </c>
      <c r="S19">
        <v>921</v>
      </c>
      <c r="T19" t="s">
        <v>25</v>
      </c>
      <c r="U19" t="s">
        <v>30</v>
      </c>
      <c r="V19" s="1">
        <v>46107.502175925925</v>
      </c>
    </row>
    <row r="20" spans="1:22" x14ac:dyDescent="0.3">
      <c r="A20" t="s">
        <v>22</v>
      </c>
      <c r="B20" t="s">
        <v>23</v>
      </c>
      <c r="C20">
        <v>0</v>
      </c>
      <c r="D20">
        <v>0</v>
      </c>
      <c r="E20">
        <v>10</v>
      </c>
      <c r="F20">
        <v>25</v>
      </c>
      <c r="G20">
        <v>27</v>
      </c>
      <c r="H20">
        <v>3</v>
      </c>
      <c r="I20">
        <v>200</v>
      </c>
      <c r="J20">
        <v>0</v>
      </c>
      <c r="K20" t="s">
        <v>24</v>
      </c>
      <c r="L20">
        <v>0.28210000000000002</v>
      </c>
      <c r="M20">
        <v>208.6635</v>
      </c>
      <c r="N20">
        <v>191.81360000000001</v>
      </c>
      <c r="O20">
        <v>191.81360000000001</v>
      </c>
      <c r="P20">
        <v>0</v>
      </c>
      <c r="Q20">
        <v>1</v>
      </c>
      <c r="R20">
        <v>1</v>
      </c>
      <c r="S20">
        <v>921</v>
      </c>
      <c r="T20" t="s">
        <v>25</v>
      </c>
      <c r="U20" t="s">
        <v>30</v>
      </c>
      <c r="V20" s="1">
        <v>46107.504965277774</v>
      </c>
    </row>
    <row r="21" spans="1:22" x14ac:dyDescent="0.3">
      <c r="A21" t="s">
        <v>22</v>
      </c>
      <c r="B21" t="s">
        <v>23</v>
      </c>
      <c r="C21">
        <v>0</v>
      </c>
      <c r="D21">
        <v>0</v>
      </c>
      <c r="E21">
        <v>10</v>
      </c>
      <c r="F21">
        <v>25</v>
      </c>
      <c r="G21">
        <v>27</v>
      </c>
      <c r="H21">
        <v>3</v>
      </c>
      <c r="I21">
        <v>200</v>
      </c>
      <c r="J21">
        <v>0</v>
      </c>
      <c r="K21" t="s">
        <v>24</v>
      </c>
      <c r="L21">
        <v>0.28199999999999997</v>
      </c>
      <c r="M21">
        <v>189.42490000000001</v>
      </c>
      <c r="N21">
        <v>191.81360000000001</v>
      </c>
      <c r="O21">
        <v>191.81360000000001</v>
      </c>
      <c r="P21">
        <v>0</v>
      </c>
      <c r="Q21">
        <v>1</v>
      </c>
      <c r="R21">
        <v>1</v>
      </c>
      <c r="S21">
        <v>921</v>
      </c>
      <c r="T21" t="s">
        <v>25</v>
      </c>
      <c r="U21" t="s">
        <v>30</v>
      </c>
      <c r="V21" s="1">
        <v>46107.507604166669</v>
      </c>
    </row>
    <row r="22" spans="1:22" s="2" customFormat="1" x14ac:dyDescent="0.3">
      <c r="A22" s="2" t="s">
        <v>22</v>
      </c>
      <c r="B22" s="2" t="s">
        <v>23</v>
      </c>
      <c r="C22" s="2">
        <v>0</v>
      </c>
      <c r="D22" s="2">
        <v>0</v>
      </c>
      <c r="E22" s="2">
        <v>10</v>
      </c>
      <c r="F22" s="2">
        <v>25</v>
      </c>
      <c r="G22" s="2">
        <v>27</v>
      </c>
      <c r="H22" s="2">
        <v>3</v>
      </c>
      <c r="I22" s="2">
        <v>200</v>
      </c>
      <c r="J22" s="2">
        <v>0</v>
      </c>
      <c r="K22" s="2" t="s">
        <v>24</v>
      </c>
      <c r="L22" s="2">
        <v>0.2787</v>
      </c>
      <c r="M22" s="2">
        <v>110.80110000000001</v>
      </c>
      <c r="N22" s="2">
        <v>191.81360000000001</v>
      </c>
      <c r="O22" s="2">
        <v>191.81360000000001</v>
      </c>
      <c r="P22" s="2">
        <v>0</v>
      </c>
      <c r="Q22" s="2">
        <v>1</v>
      </c>
      <c r="R22" s="2">
        <v>1</v>
      </c>
      <c r="S22" s="2">
        <v>975</v>
      </c>
      <c r="T22" s="2" t="s">
        <v>25</v>
      </c>
      <c r="U22" s="2" t="s">
        <v>50</v>
      </c>
      <c r="V22" s="3">
        <v>46107.511481481481</v>
      </c>
    </row>
    <row r="23" spans="1:22" x14ac:dyDescent="0.3">
      <c r="A23" t="s">
        <v>27</v>
      </c>
      <c r="B23" t="s">
        <v>23</v>
      </c>
      <c r="C23">
        <v>0</v>
      </c>
      <c r="D23">
        <v>0</v>
      </c>
      <c r="E23">
        <v>0</v>
      </c>
      <c r="F23">
        <v>25</v>
      </c>
      <c r="G23">
        <v>27</v>
      </c>
      <c r="H23">
        <v>3</v>
      </c>
      <c r="I23">
        <v>200</v>
      </c>
      <c r="J23">
        <v>0</v>
      </c>
      <c r="K23" t="s">
        <v>24</v>
      </c>
      <c r="L23">
        <v>0.2787</v>
      </c>
      <c r="M23">
        <v>157.9332</v>
      </c>
      <c r="N23">
        <v>191.81360000000001</v>
      </c>
      <c r="O23">
        <v>191.81360000000001</v>
      </c>
      <c r="P23">
        <v>0</v>
      </c>
      <c r="Q23">
        <v>1</v>
      </c>
      <c r="R23">
        <v>1</v>
      </c>
      <c r="S23">
        <v>795</v>
      </c>
      <c r="T23" t="s">
        <v>25</v>
      </c>
      <c r="U23" t="s">
        <v>30</v>
      </c>
      <c r="V23" s="1">
        <v>46107.513310185182</v>
      </c>
    </row>
    <row r="24" spans="1:22" x14ac:dyDescent="0.3">
      <c r="A24" t="s">
        <v>28</v>
      </c>
      <c r="B24" t="s">
        <v>23</v>
      </c>
      <c r="C24">
        <v>0</v>
      </c>
      <c r="D24">
        <v>0</v>
      </c>
      <c r="E24">
        <v>1</v>
      </c>
      <c r="F24">
        <v>25</v>
      </c>
      <c r="G24">
        <v>27</v>
      </c>
      <c r="H24">
        <v>3</v>
      </c>
      <c r="I24">
        <v>200</v>
      </c>
      <c r="J24">
        <v>0</v>
      </c>
      <c r="K24" t="s">
        <v>24</v>
      </c>
      <c r="L24">
        <v>0.2787</v>
      </c>
      <c r="M24">
        <v>146.15690000000001</v>
      </c>
      <c r="N24">
        <v>191.81360000000001</v>
      </c>
      <c r="O24">
        <v>191.81360000000001</v>
      </c>
      <c r="P24">
        <v>0</v>
      </c>
      <c r="Q24">
        <v>1</v>
      </c>
      <c r="R24">
        <v>1</v>
      </c>
      <c r="S24">
        <v>1161</v>
      </c>
      <c r="T24" t="s">
        <v>25</v>
      </c>
      <c r="U24" t="s">
        <v>25</v>
      </c>
      <c r="V24" s="1">
        <v>46107.514999999999</v>
      </c>
    </row>
    <row r="25" spans="1:22" x14ac:dyDescent="0.3">
      <c r="A25" t="s">
        <v>29</v>
      </c>
      <c r="B25" t="s">
        <v>23</v>
      </c>
      <c r="C25">
        <v>0</v>
      </c>
      <c r="D25">
        <v>0</v>
      </c>
      <c r="E25">
        <v>2</v>
      </c>
      <c r="F25">
        <v>25</v>
      </c>
      <c r="G25">
        <v>27</v>
      </c>
      <c r="H25">
        <v>3</v>
      </c>
      <c r="I25">
        <v>200</v>
      </c>
      <c r="J25">
        <v>0</v>
      </c>
      <c r="K25" t="s">
        <v>24</v>
      </c>
      <c r="L25">
        <v>0.2787</v>
      </c>
      <c r="M25">
        <v>94.041700000000006</v>
      </c>
      <c r="N25">
        <v>191.81360000000001</v>
      </c>
      <c r="O25">
        <v>191.81360000000001</v>
      </c>
      <c r="P25">
        <v>0</v>
      </c>
      <c r="Q25">
        <v>1</v>
      </c>
      <c r="R25">
        <v>1</v>
      </c>
      <c r="S25">
        <v>999</v>
      </c>
      <c r="T25" t="s">
        <v>25</v>
      </c>
      <c r="U25" t="s">
        <v>26</v>
      </c>
      <c r="V25" s="1">
        <v>46107.516087962962</v>
      </c>
    </row>
    <row r="26" spans="1:22" x14ac:dyDescent="0.3">
      <c r="A26" t="s">
        <v>31</v>
      </c>
      <c r="B26" t="s">
        <v>23</v>
      </c>
      <c r="C26">
        <v>0</v>
      </c>
      <c r="D26">
        <v>0</v>
      </c>
      <c r="E26" s="11">
        <v>3</v>
      </c>
      <c r="F26">
        <v>25</v>
      </c>
      <c r="G26">
        <v>27</v>
      </c>
      <c r="H26">
        <v>3</v>
      </c>
      <c r="I26">
        <v>200</v>
      </c>
      <c r="J26">
        <v>0</v>
      </c>
      <c r="K26" t="s">
        <v>24</v>
      </c>
      <c r="L26">
        <v>0.2787</v>
      </c>
      <c r="M26">
        <v>1224.6114</v>
      </c>
      <c r="N26">
        <v>191.81360000000001</v>
      </c>
      <c r="O26" s="11">
        <v>264.7235</v>
      </c>
      <c r="P26" s="10">
        <v>38.010800000000003</v>
      </c>
      <c r="Q26">
        <v>0</v>
      </c>
      <c r="R26" s="11">
        <v>17955</v>
      </c>
      <c r="S26">
        <v>1551</v>
      </c>
      <c r="T26" t="s">
        <v>25</v>
      </c>
      <c r="U26" t="s">
        <v>51</v>
      </c>
      <c r="V26" s="1">
        <v>46107.530266203707</v>
      </c>
    </row>
    <row r="27" spans="1:22" x14ac:dyDescent="0.3">
      <c r="A27" t="s">
        <v>52</v>
      </c>
      <c r="B27" t="s">
        <v>23</v>
      </c>
      <c r="C27">
        <v>0</v>
      </c>
      <c r="D27">
        <v>0</v>
      </c>
      <c r="E27">
        <v>22</v>
      </c>
      <c r="F27">
        <v>25</v>
      </c>
      <c r="G27">
        <v>27</v>
      </c>
      <c r="H27">
        <v>3</v>
      </c>
      <c r="I27">
        <v>200</v>
      </c>
      <c r="J27">
        <v>0</v>
      </c>
      <c r="K27" t="s">
        <v>24</v>
      </c>
      <c r="L27">
        <v>0.2787</v>
      </c>
      <c r="M27">
        <v>279.2704</v>
      </c>
      <c r="N27">
        <v>191.81360000000001</v>
      </c>
      <c r="O27">
        <v>191.81360000000001</v>
      </c>
      <c r="P27">
        <v>0</v>
      </c>
      <c r="Q27">
        <v>1</v>
      </c>
      <c r="R27">
        <v>1</v>
      </c>
      <c r="S27">
        <v>354</v>
      </c>
      <c r="T27" t="s">
        <v>25</v>
      </c>
      <c r="U27" t="s">
        <v>53</v>
      </c>
      <c r="V27" s="1">
        <v>46107.533495370371</v>
      </c>
    </row>
    <row r="28" spans="1:22" s="4" customFormat="1" x14ac:dyDescent="0.3">
      <c r="A28" s="4" t="s">
        <v>22</v>
      </c>
      <c r="B28" s="4" t="s">
        <v>45</v>
      </c>
      <c r="C28" s="4">
        <v>0</v>
      </c>
      <c r="D28" s="4">
        <v>0</v>
      </c>
      <c r="E28" s="4">
        <v>10</v>
      </c>
      <c r="F28" s="4">
        <v>25</v>
      </c>
      <c r="G28" s="4">
        <v>27</v>
      </c>
      <c r="H28" s="4">
        <v>3</v>
      </c>
      <c r="I28" s="4">
        <v>200</v>
      </c>
      <c r="J28" s="4">
        <v>0</v>
      </c>
      <c r="K28" s="4" t="s">
        <v>24</v>
      </c>
      <c r="L28" s="4">
        <v>21.396000000000001</v>
      </c>
      <c r="M28" s="4">
        <v>165.59729999999999</v>
      </c>
      <c r="N28" s="4">
        <v>190.73759999999999</v>
      </c>
      <c r="O28" s="9">
        <f>O29</f>
        <v>190.73</v>
      </c>
      <c r="P28" s="4">
        <v>0</v>
      </c>
      <c r="Q28" s="4">
        <v>1</v>
      </c>
      <c r="R28" s="4">
        <v>1</v>
      </c>
      <c r="S28" s="4">
        <v>1506</v>
      </c>
      <c r="T28" s="4" t="s">
        <v>47</v>
      </c>
      <c r="U28" s="4" t="s">
        <v>49</v>
      </c>
      <c r="V28" s="5">
        <v>46107.53565972222</v>
      </c>
    </row>
    <row r="29" spans="1:22" x14ac:dyDescent="0.3">
      <c r="A29" t="s">
        <v>27</v>
      </c>
      <c r="B29" t="s">
        <v>45</v>
      </c>
      <c r="C29">
        <v>0</v>
      </c>
      <c r="D29">
        <v>0</v>
      </c>
      <c r="E29">
        <v>0</v>
      </c>
      <c r="F29">
        <v>25</v>
      </c>
      <c r="G29">
        <v>27</v>
      </c>
      <c r="H29">
        <v>3</v>
      </c>
      <c r="I29">
        <v>200</v>
      </c>
      <c r="J29">
        <v>0</v>
      </c>
      <c r="K29" t="s">
        <v>24</v>
      </c>
      <c r="L29">
        <v>21.396000000000001</v>
      </c>
      <c r="M29">
        <v>352.82470000000001</v>
      </c>
      <c r="N29">
        <v>190.73759999999999</v>
      </c>
      <c r="O29" s="8">
        <v>190.73</v>
      </c>
      <c r="P29">
        <v>0</v>
      </c>
      <c r="Q29">
        <v>1</v>
      </c>
      <c r="R29">
        <v>1</v>
      </c>
      <c r="S29">
        <v>1389</v>
      </c>
      <c r="T29" t="s">
        <v>47</v>
      </c>
      <c r="U29" t="s">
        <v>49</v>
      </c>
      <c r="V29" s="1">
        <v>46107.53974537037</v>
      </c>
    </row>
    <row r="30" spans="1:22" x14ac:dyDescent="0.3">
      <c r="A30" t="s">
        <v>28</v>
      </c>
      <c r="B30" t="s">
        <v>45</v>
      </c>
      <c r="C30">
        <v>0</v>
      </c>
      <c r="D30">
        <v>0</v>
      </c>
      <c r="E30">
        <v>1</v>
      </c>
      <c r="F30">
        <v>25</v>
      </c>
      <c r="G30">
        <v>27</v>
      </c>
      <c r="H30">
        <v>3</v>
      </c>
      <c r="I30">
        <v>200</v>
      </c>
      <c r="J30">
        <v>0</v>
      </c>
      <c r="K30" t="s">
        <v>24</v>
      </c>
      <c r="L30">
        <v>21.396000000000001</v>
      </c>
      <c r="M30">
        <v>103.18600000000001</v>
      </c>
      <c r="N30">
        <v>190.73759999999999</v>
      </c>
      <c r="O30">
        <v>202.1</v>
      </c>
      <c r="P30">
        <v>5.9611999999999998</v>
      </c>
      <c r="Q30">
        <v>0</v>
      </c>
      <c r="R30">
        <v>1</v>
      </c>
      <c r="S30">
        <v>1506</v>
      </c>
      <c r="T30" t="s">
        <v>47</v>
      </c>
      <c r="U30" t="s">
        <v>54</v>
      </c>
      <c r="V30" s="1">
        <v>46107.540937500002</v>
      </c>
    </row>
    <row r="31" spans="1:22" x14ac:dyDescent="0.3">
      <c r="A31" t="s">
        <v>29</v>
      </c>
      <c r="B31" t="s">
        <v>45</v>
      </c>
      <c r="C31">
        <v>0</v>
      </c>
      <c r="D31">
        <v>0</v>
      </c>
      <c r="E31">
        <v>2</v>
      </c>
      <c r="F31">
        <v>25</v>
      </c>
      <c r="G31">
        <v>27</v>
      </c>
      <c r="H31">
        <v>3</v>
      </c>
      <c r="I31">
        <v>200</v>
      </c>
      <c r="J31">
        <v>0</v>
      </c>
      <c r="K31" t="s">
        <v>24</v>
      </c>
      <c r="L31">
        <v>21.396000000000001</v>
      </c>
      <c r="M31">
        <v>311.5942</v>
      </c>
      <c r="N31">
        <v>190.73759999999999</v>
      </c>
      <c r="O31">
        <v>190.73</v>
      </c>
      <c r="P31">
        <v>0</v>
      </c>
      <c r="Q31">
        <v>1</v>
      </c>
      <c r="R31">
        <v>1</v>
      </c>
      <c r="S31">
        <v>1506</v>
      </c>
      <c r="T31" t="s">
        <v>47</v>
      </c>
      <c r="U31" t="s">
        <v>55</v>
      </c>
      <c r="V31" s="1">
        <v>46107.544548611113</v>
      </c>
    </row>
    <row r="32" spans="1:22" x14ac:dyDescent="0.3">
      <c r="A32" t="s">
        <v>31</v>
      </c>
      <c r="B32" t="s">
        <v>45</v>
      </c>
      <c r="C32">
        <v>0</v>
      </c>
      <c r="D32">
        <v>0</v>
      </c>
      <c r="E32" s="11">
        <v>3</v>
      </c>
      <c r="F32">
        <v>25</v>
      </c>
      <c r="G32">
        <v>27</v>
      </c>
      <c r="H32">
        <v>3</v>
      </c>
      <c r="I32">
        <v>200</v>
      </c>
      <c r="J32">
        <v>0</v>
      </c>
      <c r="K32" t="s">
        <v>24</v>
      </c>
      <c r="L32">
        <v>21.396000000000001</v>
      </c>
      <c r="M32">
        <v>409.25630000000001</v>
      </c>
      <c r="N32">
        <v>190.73759999999999</v>
      </c>
      <c r="O32" s="11">
        <v>233.95570000000001</v>
      </c>
      <c r="P32">
        <v>22.6584</v>
      </c>
      <c r="Q32">
        <v>0</v>
      </c>
      <c r="R32" s="11">
        <v>111</v>
      </c>
      <c r="S32">
        <v>3474</v>
      </c>
      <c r="T32" t="s">
        <v>47</v>
      </c>
      <c r="U32" t="s">
        <v>56</v>
      </c>
      <c r="V32" s="1">
        <v>46107.54928240741</v>
      </c>
    </row>
    <row r="33" spans="1:22" s="16" customFormat="1" x14ac:dyDescent="0.3">
      <c r="A33" s="16" t="s">
        <v>52</v>
      </c>
      <c r="B33" s="16" t="s">
        <v>45</v>
      </c>
      <c r="C33" s="16">
        <v>0</v>
      </c>
      <c r="D33" s="16">
        <v>0</v>
      </c>
      <c r="E33" s="16">
        <v>22</v>
      </c>
      <c r="F33" s="16">
        <v>25</v>
      </c>
      <c r="G33" s="16">
        <v>27</v>
      </c>
      <c r="H33" s="16">
        <v>3</v>
      </c>
      <c r="I33" s="16">
        <v>200</v>
      </c>
      <c r="J33" s="16">
        <v>0</v>
      </c>
      <c r="K33" s="16" t="s">
        <v>24</v>
      </c>
      <c r="L33" s="16">
        <v>21.396000000000001</v>
      </c>
      <c r="M33" s="16">
        <v>872.39520000000005</v>
      </c>
      <c r="N33" s="16">
        <v>190.73759999999999</v>
      </c>
      <c r="O33" s="16">
        <v>190.73</v>
      </c>
      <c r="P33" s="16">
        <v>0</v>
      </c>
      <c r="Q33" s="16">
        <v>1</v>
      </c>
      <c r="R33" s="16">
        <v>1</v>
      </c>
      <c r="S33" s="16">
        <v>657</v>
      </c>
      <c r="T33" s="16" t="s">
        <v>47</v>
      </c>
      <c r="U33" s="16" t="s">
        <v>57</v>
      </c>
      <c r="V33" s="17">
        <v>46107.559374999997</v>
      </c>
    </row>
    <row r="34" spans="1:22" x14ac:dyDescent="0.3">
      <c r="A34" t="s">
        <v>52</v>
      </c>
      <c r="B34" t="s">
        <v>58</v>
      </c>
      <c r="C34">
        <v>0</v>
      </c>
      <c r="D34">
        <v>0</v>
      </c>
      <c r="E34">
        <v>22</v>
      </c>
      <c r="F34">
        <v>25</v>
      </c>
      <c r="G34">
        <v>27</v>
      </c>
      <c r="H34">
        <v>3</v>
      </c>
      <c r="I34">
        <v>200</v>
      </c>
      <c r="J34">
        <v>0</v>
      </c>
      <c r="K34" t="s">
        <v>24</v>
      </c>
      <c r="L34">
        <v>1202.3</v>
      </c>
      <c r="M34" s="12" t="s">
        <v>59</v>
      </c>
      <c r="N34">
        <v>190.73759999999999</v>
      </c>
      <c r="O34">
        <v>190.73</v>
      </c>
      <c r="P34">
        <v>0</v>
      </c>
      <c r="Q34">
        <v>1</v>
      </c>
      <c r="R34">
        <v>7</v>
      </c>
      <c r="S34">
        <v>1734</v>
      </c>
      <c r="T34" t="s">
        <v>47</v>
      </c>
      <c r="U34" t="s">
        <v>57</v>
      </c>
      <c r="V34" s="1">
        <v>46107.559374999997</v>
      </c>
    </row>
    <row r="35" spans="1:22" x14ac:dyDescent="0.3">
      <c r="M35">
        <v>134</v>
      </c>
    </row>
    <row r="36" spans="1:22" x14ac:dyDescent="0.3">
      <c r="A36" t="s">
        <v>27</v>
      </c>
      <c r="B36" t="s">
        <v>58</v>
      </c>
      <c r="C36">
        <v>0</v>
      </c>
      <c r="D36">
        <v>0</v>
      </c>
      <c r="E36">
        <v>0</v>
      </c>
      <c r="F36">
        <v>25</v>
      </c>
      <c r="G36">
        <v>27</v>
      </c>
      <c r="H36">
        <v>3</v>
      </c>
      <c r="I36">
        <v>200</v>
      </c>
      <c r="J36">
        <v>0</v>
      </c>
      <c r="K36" t="s">
        <v>24</v>
      </c>
      <c r="L36">
        <v>1202.3</v>
      </c>
      <c r="M36" s="15" t="s">
        <v>62</v>
      </c>
      <c r="N36">
        <v>190.73759999999999</v>
      </c>
      <c r="O36">
        <v>190.73759999999999</v>
      </c>
      <c r="P36">
        <v>0</v>
      </c>
      <c r="Q36">
        <v>1</v>
      </c>
      <c r="R36">
        <v>1</v>
      </c>
      <c r="S36">
        <v>1365</v>
      </c>
      <c r="T36" t="s">
        <v>57</v>
      </c>
      <c r="U36" t="s">
        <v>49</v>
      </c>
      <c r="V36" s="1">
        <v>46107.619629629633</v>
      </c>
    </row>
    <row r="37" spans="1:22" x14ac:dyDescent="0.3">
      <c r="A37" t="s">
        <v>28</v>
      </c>
      <c r="B37" t="s">
        <v>58</v>
      </c>
      <c r="C37">
        <v>0</v>
      </c>
      <c r="D37">
        <v>0</v>
      </c>
      <c r="E37">
        <v>1</v>
      </c>
      <c r="F37">
        <v>25</v>
      </c>
      <c r="G37">
        <v>27</v>
      </c>
      <c r="H37">
        <v>3</v>
      </c>
      <c r="I37">
        <v>200</v>
      </c>
      <c r="J37">
        <v>0</v>
      </c>
      <c r="K37" t="s">
        <v>24</v>
      </c>
      <c r="L37">
        <v>1202.3</v>
      </c>
      <c r="M37">
        <v>274.72969999999998</v>
      </c>
      <c r="N37">
        <v>190.73759999999999</v>
      </c>
      <c r="O37">
        <v>199.49709999999999</v>
      </c>
      <c r="P37">
        <v>4.5923999999999996</v>
      </c>
      <c r="Q37">
        <v>0</v>
      </c>
      <c r="R37">
        <v>1</v>
      </c>
      <c r="S37">
        <v>1506</v>
      </c>
      <c r="T37" t="s">
        <v>57</v>
      </c>
      <c r="U37" t="s">
        <v>60</v>
      </c>
      <c r="V37" s="1">
        <v>46107.622812499998</v>
      </c>
    </row>
    <row r="38" spans="1:22" s="13" customFormat="1" x14ac:dyDescent="0.3">
      <c r="A38" s="13" t="s">
        <v>29</v>
      </c>
      <c r="B38" s="13" t="s">
        <v>58</v>
      </c>
      <c r="C38" s="13">
        <v>0</v>
      </c>
      <c r="D38" s="13">
        <v>0</v>
      </c>
      <c r="E38" s="13">
        <v>2</v>
      </c>
      <c r="F38" s="13">
        <v>25</v>
      </c>
      <c r="G38" s="13">
        <v>27</v>
      </c>
      <c r="H38" s="13">
        <v>3</v>
      </c>
      <c r="I38" s="13">
        <v>200</v>
      </c>
      <c r="J38" s="13">
        <v>0</v>
      </c>
      <c r="K38" s="13" t="s">
        <v>24</v>
      </c>
      <c r="L38" s="13">
        <v>1202.3</v>
      </c>
      <c r="M38" s="13">
        <v>3600.1190000000001</v>
      </c>
      <c r="N38" s="13">
        <v>190.73759999999999</v>
      </c>
      <c r="O38" s="13">
        <v>-1</v>
      </c>
      <c r="R38" s="13">
        <v>0</v>
      </c>
      <c r="S38" s="13">
        <v>0</v>
      </c>
      <c r="T38" s="13" t="s">
        <v>57</v>
      </c>
      <c r="U38" s="13" t="s">
        <v>61</v>
      </c>
      <c r="V38" s="14">
        <v>46107.664479166669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F293-EC59-45B8-9E29-5C722AE51A15}">
  <dimension ref="A1"/>
  <sheetViews>
    <sheetView workbookViewId="0">
      <selection activeCell="M5" sqref="M5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resultados_finais - Copia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Polyana Silva</dc:creator>
  <cp:lastModifiedBy>Dieferson gg</cp:lastModifiedBy>
  <dcterms:created xsi:type="dcterms:W3CDTF">2026-03-26T19:17:13Z</dcterms:created>
  <dcterms:modified xsi:type="dcterms:W3CDTF">2026-03-26T21:03:54Z</dcterms:modified>
</cp:coreProperties>
</file>