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yanaSilva\Documents\BP_VRPTW\"/>
    </mc:Choice>
  </mc:AlternateContent>
  <xr:revisionPtr revIDLastSave="0" documentId="13_ncr:1_{F92A10CD-7D60-46C1-B5B5-901D4DBA533B}" xr6:coauthVersionLast="47" xr6:coauthVersionMax="47" xr10:uidLastSave="{00000000-0000-0000-0000-000000000000}"/>
  <bookViews>
    <workbookView xWindow="22932" yWindow="-108" windowWidth="41496" windowHeight="16776" xr2:uid="{AFBF5964-5A80-4DC3-BEA0-B61EEA129B20}"/>
  </bookViews>
  <sheets>
    <sheet name="GERAL" sheetId="1" r:id="rId1"/>
    <sheet name="artigo" sheetId="2" r:id="rId2"/>
    <sheet name="variacao_NOIMPROVE" sheetId="3" r:id="rId3"/>
    <sheet name="resultados_finais - Copia (4)" sheetId="4" r:id="rId4"/>
  </sheets>
  <definedNames>
    <definedName name="_xlnm._FilterDatabase" localSheetId="3" hidden="1">'resultados_finais - Copia (4)'!$A$1:$V$97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54" i="1" l="1"/>
  <c r="AM55" i="1"/>
  <c r="AM56" i="1"/>
  <c r="AM57" i="1"/>
  <c r="AM58" i="1"/>
  <c r="AM59" i="1"/>
  <c r="AM60" i="1"/>
  <c r="AM61" i="1"/>
  <c r="AM62" i="1"/>
  <c r="AM63" i="1"/>
  <c r="AM64" i="1"/>
  <c r="AM53" i="1"/>
  <c r="AQ64" i="1"/>
  <c r="AP64" i="1"/>
  <c r="AQ63" i="1"/>
  <c r="AP63" i="1"/>
  <c r="AQ62" i="1"/>
  <c r="AP62" i="1"/>
  <c r="AQ61" i="1"/>
  <c r="AP61" i="1"/>
  <c r="AQ60" i="1"/>
  <c r="AP60" i="1"/>
  <c r="AQ59" i="1"/>
  <c r="AP59" i="1"/>
  <c r="AQ58" i="1"/>
  <c r="AP58" i="1"/>
  <c r="AQ57" i="1"/>
  <c r="AP57" i="1"/>
  <c r="AQ56" i="1"/>
  <c r="AP56" i="1"/>
  <c r="AQ55" i="1"/>
  <c r="AP55" i="1"/>
  <c r="AQ54" i="1"/>
  <c r="AP54" i="1"/>
  <c r="AQ53" i="1"/>
  <c r="AP53" i="1"/>
  <c r="AM35" i="1"/>
  <c r="AM36" i="1"/>
  <c r="AM37" i="1"/>
  <c r="AM38" i="1"/>
  <c r="AM39" i="1"/>
  <c r="AM40" i="1"/>
  <c r="AM41" i="1"/>
  <c r="AM42" i="1"/>
  <c r="AM43" i="1"/>
  <c r="AM44" i="1"/>
  <c r="AM45" i="1"/>
  <c r="AM34" i="1"/>
  <c r="AQ35" i="1"/>
  <c r="AQ36" i="1"/>
  <c r="AQ37" i="1"/>
  <c r="AQ38" i="1"/>
  <c r="AQ39" i="1"/>
  <c r="AQ40" i="1"/>
  <c r="AQ41" i="1"/>
  <c r="AQ42" i="1"/>
  <c r="AQ43" i="1"/>
  <c r="AQ44" i="1"/>
  <c r="AQ45" i="1"/>
  <c r="AQ34" i="1"/>
  <c r="AP35" i="1"/>
  <c r="AP36" i="1"/>
  <c r="AP37" i="1"/>
  <c r="AP38" i="1"/>
  <c r="AP39" i="1"/>
  <c r="AP40" i="1"/>
  <c r="AP41" i="1"/>
  <c r="AP42" i="1"/>
  <c r="AP43" i="1"/>
  <c r="AP44" i="1"/>
  <c r="AP45" i="1"/>
  <c r="AP34" i="1"/>
  <c r="AP19" i="1"/>
  <c r="AQ19" i="1"/>
  <c r="AP20" i="1"/>
  <c r="AQ20" i="1"/>
  <c r="AP21" i="1"/>
  <c r="AQ21" i="1"/>
  <c r="AP22" i="1"/>
  <c r="AQ22" i="1"/>
  <c r="AP23" i="1"/>
  <c r="AQ23" i="1"/>
  <c r="AP24" i="1"/>
  <c r="AQ24" i="1"/>
  <c r="AP25" i="1"/>
  <c r="AQ25" i="1"/>
  <c r="AP26" i="1"/>
  <c r="AQ26" i="1"/>
  <c r="AP18" i="1"/>
  <c r="AQ18" i="1"/>
  <c r="AP3" i="1"/>
  <c r="BB6" i="1"/>
  <c r="AR102" i="4"/>
  <c r="AX6" i="1"/>
  <c r="AW28" i="1"/>
  <c r="AW29" i="1"/>
  <c r="AW30" i="1"/>
  <c r="AW31" i="1"/>
  <c r="AW32" i="1"/>
  <c r="AW33" i="1"/>
  <c r="BB7" i="1"/>
  <c r="AX7" i="1"/>
  <c r="BA33" i="1"/>
  <c r="AY33" i="1"/>
  <c r="BA32" i="1"/>
  <c r="AY32" i="1"/>
  <c r="BA31" i="1"/>
  <c r="AY31" i="1"/>
  <c r="BA30" i="1"/>
  <c r="AY30" i="1"/>
  <c r="BA29" i="1"/>
  <c r="AY29" i="1"/>
  <c r="BA28" i="1"/>
  <c r="AY28" i="1"/>
  <c r="AZ6" i="1"/>
  <c r="AZ7" i="1"/>
  <c r="AZ8" i="1"/>
  <c r="AZ9" i="1"/>
  <c r="AZ10" i="1"/>
  <c r="AZ11" i="1"/>
  <c r="AX8" i="1"/>
  <c r="AX9" i="1"/>
  <c r="AX10" i="1"/>
  <c r="AX11" i="1"/>
  <c r="I86" i="1"/>
  <c r="I87" i="1"/>
  <c r="I88" i="1"/>
  <c r="I89" i="1"/>
  <c r="I90" i="1"/>
  <c r="I91" i="1"/>
  <c r="I85" i="1"/>
  <c r="H86" i="1"/>
  <c r="H87" i="1"/>
  <c r="H88" i="1"/>
  <c r="H89" i="1"/>
  <c r="H90" i="1"/>
  <c r="H91" i="1"/>
  <c r="BB11" i="1"/>
  <c r="H85" i="1"/>
  <c r="AP4" i="1"/>
  <c r="AP5" i="1"/>
  <c r="AP6" i="1"/>
  <c r="AP7" i="1"/>
  <c r="AP8" i="1"/>
  <c r="AP9" i="1"/>
  <c r="AP10" i="1"/>
  <c r="AP11" i="1"/>
  <c r="AQ4" i="1"/>
  <c r="AQ5" i="1"/>
  <c r="AQ6" i="1"/>
  <c r="AQ7" i="1"/>
  <c r="AQ8" i="1"/>
  <c r="AQ9" i="1"/>
  <c r="AQ10" i="1"/>
  <c r="AQ11" i="1"/>
  <c r="AQ3" i="1"/>
  <c r="BB8" i="1"/>
  <c r="BB9" i="1"/>
  <c r="BB10" i="1"/>
</calcChain>
</file>

<file path=xl/sharedStrings.xml><?xml version="1.0" encoding="utf-8"?>
<sst xmlns="http://schemas.openxmlformats.org/spreadsheetml/2006/main" count="1720" uniqueCount="349">
  <si>
    <t>tam25_cap200_tabu0_inst0_cons10</t>
  </si>
  <si>
    <t>PD</t>
  </si>
  <si>
    <t>V0: [0,12,9,20,1,26] ; V1: [0,11,19,10,26] ; V2: [0,18,26] ; V3: [0,23,22,4,26] ; V4: [0,7,8,17,26] ; V5: [0,5,16,6,26] ; V6: [0,2,21,3,24,25,26] ; V7: [0,14,15,13,26]</t>
  </si>
  <si>
    <t>V0: [0,14,15,13,26] ; V1: [0,12,9,20,1,26] ; V2: [0,23,22,4,25,26] ; V3: [0,5,16,6,26] ; V4: [0,11,19,10,26] ; V5: [0,18,26] ; V6: [0,2,21,3,24,26] ; V7: [0,7,8,17,26]</t>
  </si>
  <si>
    <t>V0: [0,14,16,6,13,26] ; V1: [0,3,9,20,1,26] ; V2: [0,7,11,19,10,26] ; V3: [0,2,15,22,4,25,26] ; V4: [0,18,26] ; V5: [0,8,17,5,26] ; V6: [0,21,23,24,12,26]</t>
  </si>
  <si>
    <t>V0: [0,14,16,6,13,26] ; V1: [0,8,17,5,26] ; V2: [0,2,15,22,4,25,26] ; V3: [0,18,26] ; V4: [0,3,9,20,1,26] ; V5: [0,21,23,24,12,26] ; V6: [0,7,11,19,10,26]</t>
  </si>
  <si>
    <t>V0: [0,7,19,11,10,26] ; V1: [0,21,23,22,2,4,25,12,26] ; V2: [0,14,15,6,13,26] ; V3: [0,3,24,9,20,1,26] ; V4: [0,18,8,16,17,5,26]</t>
  </si>
  <si>
    <t>V0: [0,12,24,3,9,10,20,1,26] ; V1: [0,2,15,14,16,17,5,26] ; V2: [0,21,23,22,4,25,26] ; V3: [0,7,19,11,8,18,26] ; V4: [0,6,13,26]</t>
  </si>
  <si>
    <t>SEM_SEQUENCIA_EXATO</t>
  </si>
  <si>
    <t>V0: [0,2,15,14,16,17,5,26] ; V1: [0,7,19,11,8,18,6,13,26] ; V2: [0,21,22,23,4,25,26] ; V3: [0,12,24,3,9,20,10,1,26]</t>
  </si>
  <si>
    <t>V0: [0,5,14,16,6,26] ; V1: [0,12,9,3,24,25,26] ; V2: [0,2,15,13,26] ; V3: [0,21,23,22,4,26] ; V4: [0,7,18,8,17,26] ; V5: [0,19,11,10,20,1,26]</t>
  </si>
  <si>
    <t>V0: [0,12,9,3,24,26] ; V1: [0,5,14,16,6,26] ; V2: [0,7,18,8,17,26] ; V3: [0,19,11,10,20,1,26] ; V4: [0,2,15,13,26] ; V5: [0,21,23,22,4,25,26]</t>
  </si>
  <si>
    <t>V0: [0,2,15,23,22,4,25,21,26] ; V1: [0,14,16,6,13,26] ; V2: [0,7,19,11,10,26] ; V3: [0,18,8,17,5,26] ; V4: [0,1,9,20,3,24,12,26]</t>
  </si>
  <si>
    <t>V0: [0,18,8,17,5,26] ; V1: [0,14,16,6,13,26] ; V2: [0,2,15,23,22,4,25,21,26] ; V3: [0,7,19,11,10,26] ; V4: [0,1,9,20,3,24,12,26]</t>
  </si>
  <si>
    <t>V0: [0,18,7,11,19,8,17,16,5,26] ; V1: [0,12,3,9,20,10,1,26] ; V2: [0,21,23,22,4,25,24,26] ; V3: [0,2,15,14,6,13,26]</t>
  </si>
  <si>
    <t>V0: [0,19,11,7,8,17,18,26] ; V1: [0,10,20,9,3,12,1,26] ; V2: [0,5,16,14,6,13,21,26] ; V3: [0,2,15,23,22,4,25,24,26]</t>
  </si>
  <si>
    <t>V0: [0,21,22,23,4,25,24,26] ; V1: [0,2,15,14,16,17,5,6,13,26] ; V2: [0,7,10,11,19,8,18,26] ; V3: [0,1,20,9,3,12,26]</t>
  </si>
  <si>
    <t>V0: [0,2,15,14,16,17,13,26] ; V1: [0,5,8,18,6,26] ; V2: [0,21,22,23,4,25,24,26] ; V3: [0,12,3,9,20,1,26] ; V4: [0,7,19,11,10,26]</t>
  </si>
  <si>
    <t>V0: [0,21,22,23,4,25,24,26] ; V1: [0,2,15,14,16,17,13,26] ; V2: [0,12,3,9,20,1,26] ; V3: [0,7,19,11,10,26] ; V4: [0,5,8,18,6,26]</t>
  </si>
  <si>
    <t>V0: [0,18,8,17,6,26] ; V1: [0,5,16,14,15,22,23,13,26] ; V2: [0,11,19,7,10,20,9,1,26] ; V3: [0,2,21,12,3,24,25,4,26]</t>
  </si>
  <si>
    <t>V0: [0,2,15,14,16,6,13,26] ; V1: [0,7,11,19,8,18,17,5,26] ; V2: [0,21,23,22,4,25,24,26] ; V3: [0,12,3,9,20,10,1,26]</t>
  </si>
  <si>
    <t>V0: [0,18,8,7,19,11,10,26] ; V1: [0,21,22,23,4,25,24,26] ; V2: [0,2,15,14,16,17,5,6,13,26] ; V3: [0,12,3,9,20,1,26]</t>
  </si>
  <si>
    <t>V0: [0,21,22,23,25,4,26] ; V1: [0,2,15,14,16,17,5,6,13,26] ; V2: [0,18,8,7,19,11,10,26] ; V3: [0,12,24,3,9,20,1,26]</t>
  </si>
  <si>
    <t>V0: [0,20,22,24,6,25,9,11,10,8,21,26] ; V1: [0,23,18,19,16,14,12,15,17,13,26] ; V2: [0,5,2,1,7,3,4,26]</t>
  </si>
  <si>
    <t>V0: [0,20,22,24,6,23,18,17,25,21,26] ; V1: [0,5,2,1,7,3,4,26] ; V2: [0,19,16,14,12,15,13,9,11,10,8,26]</t>
  </si>
  <si>
    <t>V0: [0,21,12,16,14,15,13,9,11,10,26] ; V1: [0,4,3,7,1,2,5,26] ; V2: [0,20,22,24,6,23,18,19,17,25,8,26]</t>
  </si>
  <si>
    <t>V0: [0,20,22,24,21,26] ; V1: [0,4,3,7,1,2,5,17,13,25,8,26] ; V2: [0,6,23,18,19,16,14,12,15,9,11,10,26]</t>
  </si>
  <si>
    <t>V0: [0,20,22,24,6,23,19,15,17,13,9,11,10,26] ; V1: [0,21,25,18,16,14,12,8,26] ; V2: [0,4,3,7,1,2,5,26]</t>
  </si>
  <si>
    <t>SEM_SEQUENCIA_BP</t>
  </si>
  <si>
    <t>V0: [0,4,3,7,1,2,12,14,16,13,11,5,26] ; V1: [0,22,21,8,26] ; V2: [0,20,24,6,23,18,19,15,17,25,9,10,26]</t>
  </si>
  <si>
    <t>V0: [0,4,3,7,1,2,5,11,10,8,22,24,6,20,26] ; V1: [0,17,18,19,16,14,12,15,13,9,26] ; V2: [0,23,25,21,26]</t>
  </si>
  <si>
    <t>run_id</t>
  </si>
  <si>
    <t>arquivo_instancia</t>
  </si>
  <si>
    <t>ninst</t>
  </si>
  <si>
    <t>tem_janelas</t>
  </si>
  <si>
    <t>heuristica_retirada</t>
  </si>
  <si>
    <t>tamanho_clientes</t>
  </si>
  <si>
    <t>nos_rede</t>
  </si>
  <si>
    <t>veiculos</t>
  </si>
  <si>
    <t>capacidade</t>
  </si>
  <si>
    <t>tabu</t>
  </si>
  <si>
    <t>tipo_geracao</t>
  </si>
  <si>
    <t>tempo_exato</t>
  </si>
  <si>
    <t>tempo_bp</t>
  </si>
  <si>
    <t>fo_exato</t>
  </si>
  <si>
    <t>fo_bp</t>
  </si>
  <si>
    <t>gap_pct</t>
  </si>
  <si>
    <t>igual_exato</t>
  </si>
  <si>
    <t>nos_bp</t>
  </si>
  <si>
    <t>colunas_bp</t>
  </si>
  <si>
    <t>seq_exato</t>
  </si>
  <si>
    <t>seq_bp</t>
  </si>
  <si>
    <t>timestamp</t>
  </si>
  <si>
    <t>GAP</t>
  </si>
  <si>
    <t>heuristica</t>
  </si>
  <si>
    <t>MÁXIMO</t>
  </si>
  <si>
    <t>inst</t>
  </si>
  <si>
    <t>MÍNIMO</t>
  </si>
  <si>
    <t>MÉDIA</t>
  </si>
  <si>
    <t>instancias/c202,txt</t>
  </si>
  <si>
    <t>instancias/r101,txt</t>
  </si>
  <si>
    <t>inserção com melhoria</t>
  </si>
  <si>
    <t>vns_ com acrescimo</t>
  </si>
  <si>
    <t>sem pd</t>
  </si>
  <si>
    <t>instancias/c201,txt</t>
  </si>
  <si>
    <t>apenas pd</t>
  </si>
  <si>
    <t>instancias/r102,txt</t>
  </si>
  <si>
    <t>todas</t>
  </si>
  <si>
    <t>instancias/c109,txt</t>
  </si>
  <si>
    <t>TIME</t>
  </si>
  <si>
    <t>instancias/c203,txt</t>
  </si>
  <si>
    <t>instancias/r112,txt</t>
  </si>
  <si>
    <t>instancias/r103,txt</t>
  </si>
  <si>
    <t>instancias/r104,txt</t>
  </si>
  <si>
    <t>instancias/r105,txt</t>
  </si>
  <si>
    <t>instancias/r106,txt</t>
  </si>
  <si>
    <t>instancias/r107,txt</t>
  </si>
  <si>
    <t>instancias/r108,txt</t>
  </si>
  <si>
    <t>instancias/r109,txt</t>
  </si>
  <si>
    <t>instancias/r110,txt</t>
  </si>
  <si>
    <t>instancias/r111,txt</t>
  </si>
  <si>
    <t>instancias/c204,txt</t>
  </si>
  <si>
    <t>instancias/c205,txt</t>
  </si>
  <si>
    <t>V0: [0,23,18,19,16,14,12,15,17,13,26] ; V1: [0,20,22,24,6,25,9,11,10,8,21,26] ; V2: [0,5,2,1,7,3,4,26]</t>
  </si>
  <si>
    <t>V0: [0,20,22,24,6,23,18,19,17,25,21,8,26] ; V1: [0,2,12,16,14,15,13,9,11,10,26] ; V2: [0,5,1,7,3,4,26]</t>
  </si>
  <si>
    <t>instancias/c206,txt</t>
  </si>
  <si>
    <t>V0: [0,5,2,1,7,3,4,26] ; V1: [0,20,22,24,6,23,18,19,17,25,21,26] ; V2: [0,12,14,16,15,13,9,11,10,8,26]</t>
  </si>
  <si>
    <t>V0: [0,20,22,24,6,23,18,19,17,25,21,8,26] ; V1: [0,5,1,7,3,4,26] ; V2: [0,2,12,14,16,15,13,9,11,10,26]</t>
  </si>
  <si>
    <t>instancias/c207,txt</t>
  </si>
  <si>
    <t>V0: [0,5,2,1,7,3,4,26] ; V1: [0,8,9,15,19,16,14,12,11,10,26] ; V2: [0,20,22,24,6,23,18,17,13,25,21,26]</t>
  </si>
  <si>
    <t>V0: [0,5,2,1,7,3,4,11,9,13,25,8,26] ; V1: [0,6,23,17,18,19,15,16,14,12,10,26] ; V2: [0,20,24,22,21,26]</t>
  </si>
  <si>
    <t>instancias/c208,txt</t>
  </si>
  <si>
    <t>V0: [0,12,14,16,19,15,13,9,11,10,8,26] ; V1: [0,5,2,1,7,3,4,26] ; V2: [0,20,22,24,6,23,18,17,25,21,26]</t>
  </si>
  <si>
    <t>V0: [0,13,15,17,25,21,8,26] ; V1: [0,20,22,24,6,23,18,19,16,14,12,9,11,10,26] ; V2: [0,5,2,1,7,3,4,26]</t>
  </si>
  <si>
    <t>Problema</t>
  </si>
  <si>
    <t>Nodes</t>
  </si>
  <si>
    <t>Arcs</t>
  </si>
  <si>
    <t>LP</t>
  </si>
  <si>
    <t>IP</t>
  </si>
  <si>
    <t>Vehicles</t>
  </si>
  <si>
    <t>BB_Nodes</t>
  </si>
  <si>
    <t>Columns</t>
  </si>
  <si>
    <t>CPU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</si>
  <si>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</si>
  <si>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</si>
  <si>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</si>
  <si>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</si>
  <si>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</si>
  <si>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</si>
  <si>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</si>
  <si>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</si>
  <si>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</si>
  <si>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</si>
  <si>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</si>
  <si>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</si>
  <si>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</si>
  <si>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</si>
  <si>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</si>
  <si>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</si>
  <si>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</si>
  <si>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</si>
  <si>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</si>
  <si>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</si>
  <si>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</si>
  <si>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RC101</t>
  </si>
  <si>
    <t>RC102</t>
  </si>
  <si>
    <t>RC103</t>
  </si>
  <si>
    <t>RC104</t>
  </si>
  <si>
    <t>RC105</t>
  </si>
  <si>
    <t>RC106</t>
  </si>
  <si>
    <t>RC107</t>
  </si>
  <si>
    <t>RC108</t>
  </si>
  <si>
    <t>ARTIGO BASE</t>
  </si>
  <si>
    <t>construtivas</t>
  </si>
  <si>
    <t>instancias/c101N.txt</t>
  </si>
  <si>
    <t>V0: [0,13,17,18,19,15,16,14,12,26] ; V1: [0,20,24,25,23,22,21,26] ; V2: [0,5,3,7,8,10,11,9,6,4,2,1,26]</t>
  </si>
  <si>
    <t>V0: [0,5,3,7,8,10,11,9,6,4,2,1,26] ; V1: [0,20,24,25,23,22,21,26] ; V2: [0,13,17,18,19,15,16,14,12,26]</t>
  </si>
  <si>
    <t>instancias/c102.txt</t>
  </si>
  <si>
    <t>V0: [0,7,8,10,11,9,6,4,2,1,3,5,26] ; V1: [0,20,24,25,23,22,21,26] ; V2: [0,13,17,18,19,15,16,14,12,26]</t>
  </si>
  <si>
    <t>V0: [0,13,17,18,19,15,16,14,12,26] ; V1: [0,20,24,25,23,22,21,26] ; V2: [0,7,8,10,11,9,6,4,2,1,3,5,26]</t>
  </si>
  <si>
    <t>instancias/c103.txt</t>
  </si>
  <si>
    <t>V0: [0,20,24,25,23,22,21,26] ; V1: [0,13,17,18,19,15,16,14,12,26] ; V2: [0,7,8,10,11,9,6,4,2,1,3,5,26]</t>
  </si>
  <si>
    <t>instancias/c104.txt</t>
  </si>
  <si>
    <t>V0: [0,7,8,11,9,6,4,2,1,3,5,26] ; V1: [0,20,24,25,23,22,21,26] ; V2: [0,13,17,18,19,15,16,14,12,10,26]</t>
  </si>
  <si>
    <t>V0: [0,20,24,25,23,22,21,26] ; V1: [0,13,15,12,14,16,19,18,17,10,26] ; V2: [0,7,8,11,9,6,4,2,1,3,5,26]</t>
  </si>
  <si>
    <t>instancias/c105.txt</t>
  </si>
  <si>
    <t>V0: [0,13,17,18,19,15,16,14,12,26] ; V1: [0,5,3,7,8,10,11,9,6,4,2,1,26] ; V2: [0,20,24,25,23,22,21,26]</t>
  </si>
  <si>
    <t>V0: [0,5,3,7,8,10,11,9,6,4,2,1,26] ; V1: [0,13,17,18,19,15,16,14,12,26] ; V2: [0,20,24,25,23,22,21,26]</t>
  </si>
  <si>
    <t>instancias/c106.txt</t>
  </si>
  <si>
    <t>V0: [0,20,24,25,23,22,21,26] ; V1: [0,5,3,7,8,10,11,9,6,4,2,1,26] ; V2: [0,13,17,18,19,15,16,14,12,26]</t>
  </si>
  <si>
    <t>instancias/c107.txt</t>
  </si>
  <si>
    <t>instancias/c108.txt</t>
  </si>
  <si>
    <t>V0: [0,20,24,25,23,22,21,26] ; V1: [0,13,17,18,19,15,16,14,12,26] ; V2: [0,5,3,7,8,10,11,9,6,4,2,1,26]</t>
  </si>
  <si>
    <t>instancias/c109.txt</t>
  </si>
  <si>
    <t>LITERATURA</t>
  </si>
  <si>
    <t>SEM MIP</t>
  </si>
  <si>
    <t>618,3299</t>
  </si>
  <si>
    <t>V0: [0,12,9,20,1,26] ; V1: [0,7,8,17,26] ; V2: [0,23,22,4,26] ; V3: [0,2,21,3,24,25,26] ; V4: [0,14,15,13,26] ; V5: [0,18,26] ; V6: [0,11,19,10,26] ; V7: [0,5,16,6,26]</t>
  </si>
  <si>
    <t>548,1078</t>
  </si>
  <si>
    <t>V0: [0,3,9,20,1,26] ; V1: [0,8,17,5,26] ; V2: [0,21,23,24,12,26] ; V3: [0,7,11,19,10,26] ; V4: [0,18,26] ; V5: [0,14,16,6,13,26] ; V6: [0,2,15,22,4,25,26]</t>
  </si>
  <si>
    <t>468,2479</t>
  </si>
  <si>
    <t>455,6982</t>
  </si>
  <si>
    <t>V0: [0,7,19,11,10,26] ; V1: [0,2,21,23,22,4,25,26] ; V2: [0,14,15,6,13,26] ; V3: [0,1,20,9,3,24,12,26] ; V4: [0,18,8,17,16,5,26]</t>
  </si>
  <si>
    <t>V0: [0,12,24,3,9,10,20,1,26] ; V1: [0,21,23,22,4,25,26] ; V2: [0,7,19,11,8,18,26] ; V3: [0,2,15,14,16,17,5,26] ; V4: [0,6,13,26]</t>
  </si>
  <si>
    <t>453,6869</t>
  </si>
  <si>
    <t>417,9612</t>
  </si>
  <si>
    <t>V0: [0,15,16,14,13,26] ; V1: [0,21,22,23,4,2,6,26] ; V2: [0,7,19,11,8,17,5,18,26] ; V3: [0,1,10,20,9,3,24,25,12,26]</t>
  </si>
  <si>
    <t>V0: [0,12,24,3,9,20,10,1,26] ; V1: [0,2,15,14,16,17,5,26] ; V2: [0,7,19,11,8,18,6,13,26] ; V3: [0,21,22,23,4,25,26]</t>
  </si>
  <si>
    <t>531,5386</t>
  </si>
  <si>
    <t>V0: [0,19,11,10,20,1,26] ; V1: [0,21,23,22,4,26] ; V2: [0,7,18,8,17,26] ; V3: [0,2,15,13,26] ; V4: [0,12,9,3,24,25,26] ; V5: [0,5,14,16,6,26]</t>
  </si>
  <si>
    <t>466,4802</t>
  </si>
  <si>
    <t>V0: [0,2,15,23,22,4,25,21,26] ; V1: [0,7,19,11,10,26] ; V2: [0,1,9,20,3,24,12,26] ; V3: [0,14,16,6,13,26] ; V4: [0,18,8,17,5,26]</t>
  </si>
  <si>
    <t>429,2004</t>
  </si>
  <si>
    <t>425,2685</t>
  </si>
  <si>
    <t>V0: [0,6,16,14,13,26] ; V1: [0,18,7,11,19,8,17,5,26] ; V2: [0,2,15,23,22,4,25,21,26] ; V3: [0,12,24,3,9,20,10,1,26]</t>
  </si>
  <si>
    <t>V0: [0,2,15,14,6,13,26] ; V1: [0,21,23,22,4,25,24,26] ; V2: [0,18,7,11,19,8,17,16,5,26] ; V3: [0,12,3,9,20,10,1,26]</t>
  </si>
  <si>
    <t>398,2947</t>
  </si>
  <si>
    <t>V0: [0,21,22,23,4,25,24,26] ; V1: [0,7,10,11,19,8,18,26] ; V2: [0,12,3,9,20,1,26] ; V3: [0,2,15,14,16,17,5,6,13,26]</t>
  </si>
  <si>
    <t>V0: [0,7,10,11,19,8,18,26] ; V1: [0,2,15,14,16,17,5,6,13,26] ; V2: [0,12,3,9,20,1,26] ; V3: [0,21,22,23,4,25,24,26]</t>
  </si>
  <si>
    <t>442,6252</t>
  </si>
  <si>
    <t>V0: [0,21,22,23,4,25,24,26] ; V1: [0,12,3,9,20,1,26] ; V2: [0,2,15,14,16,17,13,26] ; V3: [0,5,8,18,6,26] ; V4: [0,7,19,11,10,26]</t>
  </si>
  <si>
    <t>-1</t>
  </si>
  <si>
    <t>445,8722</t>
  </si>
  <si>
    <t>V0: [0,11,19,7,10,20,9,1,26] ; V1: [0,18,8,17,6,26] ; V2: [0,2,21,12,3,24,25,4,26] ; V3: [0,5,16,14,15,22,23,13,26]</t>
  </si>
  <si>
    <t>440,9024</t>
  </si>
  <si>
    <t>429,6968</t>
  </si>
  <si>
    <t>V0: [0,6,14,16,17,5,26] ; V1: [0,2,15,23,22,21,4,25,24,26] ; V2: [0,3,9,20,10,1,12,26] ; V3: [0,7,11,19,8,18,13,26]</t>
  </si>
  <si>
    <t>V0: [0,7,11,19,8,18,17,5,26] ; V1: [0,12,3,9,20,10,1,26] ; V2: [0,2,15,14,16,6,13,26] ; V3: [0,21,23,22,4,25,24,26]</t>
  </si>
  <si>
    <t>394,1013</t>
  </si>
  <si>
    <t>396,9838</t>
  </si>
  <si>
    <t>V0: [0,18,8,7,19,11,10,26] ; V1: [0,2,15,14,16,17,5,6,26] ; V2: [0,12,24,3,9,20,1,26] ; V3: [0,13,21,22,23,25,4,26]</t>
  </si>
  <si>
    <t>268,5325</t>
  </si>
  <si>
    <t>278,6961</t>
  </si>
  <si>
    <t>V0: [0,22,18,19,16,14,12,9,11,10,8,26] ; V1: [0,20,24,6,23,15,17,13,25,21,26] ; V2: [0,5,2,1,7,3,4,26]</t>
  </si>
  <si>
    <t>268,8531</t>
  </si>
  <si>
    <t>303,7789</t>
  </si>
  <si>
    <t>V0: [0,19,16,14,12,15,13,9,11,10,8,26] ; V1: [0,4,3,7,1,2,5,26] ; V2: [0,20,22,24,6,23,18,17,25,21,26]</t>
  </si>
  <si>
    <t>V0: [0,7,3,4,11,10,26] ; V1: [0,20,22,24,6,23,18,19,17,25,21,8,26] ; V2: [0,5,1,2,12,16,14,15,13,9,26]</t>
  </si>
  <si>
    <t>277,1327</t>
  </si>
  <si>
    <t>V0: [0,5,2,1,7,3,4,26] ; V1: [0,23,18,19,16,14,12,15,17,13,26] ; V2: [0,20,22,24,6,25,9,11,10,8,21,26]</t>
  </si>
  <si>
    <t>V0: [0,20,22,24,6,23,19,18,17,25,21,26] ; V1: [0,4,3,7,1,12,14,16,15,13,9,26] ; V2: [0,5,2,11,10,8,26]</t>
  </si>
  <si>
    <t>268,5947</t>
  </si>
  <si>
    <t>291,5318</t>
  </si>
  <si>
    <t>V0: [0,17,18,19,16,14,12,15,13,26] ; V1: [0,20,22,24,6,23,25,9,11,10,8,21,26] ; V2: [0,5,2,1,7,3,4,26]</t>
  </si>
  <si>
    <t>V0: [0,12,14,16,9,26] ; V1: [0,4,3,7,1,2,5,11,10,8,21,22,20,26] ; V2: [0,24,6,23,17,18,19,15,13,25,26]</t>
  </si>
  <si>
    <t>281,4628</t>
  </si>
  <si>
    <t>V0: [0,23,18,19,16,14,12,15,10,11,26] ; V1: [0,20,22,24,6,25,17,13,9,8,21,26] ; V2: [0,5,2,1,7,3,4,26]</t>
  </si>
  <si>
    <t>266,5696</t>
  </si>
  <si>
    <t>278,4903</t>
  </si>
  <si>
    <t>V0: [0,2,12,14,16,15,13,9,11,10,26] ; V1: [0,20,22,24,6,23,18,19,17,25,21,8,26] ; V2: [0,5,1,7,3,4,26]</t>
  </si>
  <si>
    <t>264,6319</t>
  </si>
  <si>
    <t>266,7108</t>
  </si>
  <si>
    <t>V0: [0,10,9,13,15,17,25,21,26] ; V1: [0,20,22,24,6,23,18,19,16,14,12,11,8,26] ; V2: [0,5,2,1,7,3,4,26]</t>
  </si>
  <si>
    <t>265,8097</t>
  </si>
  <si>
    <t>V0: [0,20,22,24,6,23,18,17,25,21,26] ; V1: [0,12,14,16,19,15,13,9,11,10,8,26] ; V2: [0,5,2,1,7,3,4,26]</t>
  </si>
  <si>
    <t>instancias/c101N,txt</t>
  </si>
  <si>
    <t>instancias/c102,txt</t>
  </si>
  <si>
    <t>instancias/c103,txt</t>
  </si>
  <si>
    <t>instancias/c104,txt</t>
  </si>
  <si>
    <t>V0: [0,7,8,11,9,6,4,2,1,3,5,26] ; V1: [0,13,17,18,19,15,16,14,12,10,26] ; V2: [0,20,24,25,23,22,21,26]</t>
  </si>
  <si>
    <t>instancias/c105,txt</t>
  </si>
  <si>
    <t>instancias/c106,txt</t>
  </si>
  <si>
    <t>instancias/c107,txt</t>
  </si>
  <si>
    <t>instancias/c108,txt</t>
  </si>
  <si>
    <t>com mip- mesma semente</t>
  </si>
  <si>
    <t>mesma semente</t>
  </si>
  <si>
    <t>com mip</t>
  </si>
  <si>
    <t>variaçao=mesmaSemente_comesemmip</t>
  </si>
  <si>
    <t>False</t>
  </si>
  <si>
    <t>V0: [0,20,22,24,6,25,9,11,10,8,21,26] ; V1: [0,5,2,1,7,3,4,26] ; V2: [0,23,18,19,16,14,12,15,17,13,26]</t>
  </si>
  <si>
    <t>V0: [0,2,16,14,15,17,25,21,26] ; V1: [0,20,22,24,6,23,18,19,12,13,9,11,10,8,26] ; V2: [0,5,1,7,3,4,26]</t>
  </si>
  <si>
    <t>True</t>
  </si>
  <si>
    <t>V0: [0,21,25,8,26] ; V1: [0,20,22,24,6,23,18,19,15,17,11,5,26] ; V2: [0,4,3,7,1,2,12,16,14,13,9,10,26]</t>
  </si>
  <si>
    <t>V0: [0,5,3,1,12,16,14,15,25,8,26] ; V1: [0,4,7,2,26] ; V2: [0,20,22,24,6,21,23,18,19,17,13,9,11,10,26]</t>
  </si>
  <si>
    <t>V0: [0,21,25,9,11,10,26] ; V1: [0,4,3,7,1,2,12,14,16,15,5,26] ; V2: [0,20,22,24,6,23,18,19,17,13,8,26]</t>
  </si>
  <si>
    <t>V0: [0,21,25,9,11,10,26] ; V1: [0,1,7,3,4,2,5,12,14,16,15,26] ; V2: [0,20,22,24,6,23,18,19,17,13,8,26]</t>
  </si>
  <si>
    <t>V0: [0,4,3,7,1,2,5,11,10,8,26] ; V1: [0,20,22,24,6,23,25,21,26] ; V2: [0,12,14,16,19,15,18,17,13,9,26]</t>
  </si>
  <si>
    <t>V0: [0,4,3,7,1,2,15,13,9,11,10,8,26] ; V1: [0,20,6,24,22,21,26] ; V2: [0,5,12,14,16,19,18,17,23,25,26]</t>
  </si>
  <si>
    <t>V0: [0,4,3,1,2,10,12,17,9,11,7,5,8,21,26] ; V1: [0,23,18,19,16,14,15,13,25,26] ; V2: [0,20,22,24,6,26]</t>
  </si>
  <si>
    <t>V0: [0,20,22,24,6,23,18,19,17,25,21,8,26] ; V1: [0,2,12,14,16,15,13,9,11,10,26] ; V2: [0,4,3,7,1,5,26]</t>
  </si>
  <si>
    <t>V0: [0,14,16,12,15,25,21,26] ; V1: [0,20,22,24,6,23,18,19,17,13,9,11,10,8,26] ; V2: [0,5,2,1,7,3,4,26]</t>
  </si>
  <si>
    <t>V0: [0,12,16,14,15,13,9,11,10,26] ; V1: [0,20,22,24,6,23,18,19,17,25,21,8,26] ; V2: [0,5,2,1,7,3,4,26]</t>
  </si>
  <si>
    <t>V0: [0,12,14,16,15,13,9,11,10,8,26] ; V1: [0,20,22,24,6,23,18,19,17,25,21,26] ; V2: [0,5,2,1,7,3,4,26]</t>
  </si>
  <si>
    <t>V0: [0,12,14,16,15,25,21,26] ; V1: [0,20,22,24,6,23,18,19,17,13,9,11,10,8,26] ; V2: [0,5,2,1,7,3,4,26]</t>
  </si>
  <si>
    <t>V0: [0,20,22,24,6,23,18,19,17,13,9,11,10,8,26] ; V1: [0,12,14,16,15,25,21,26] ; V2: [0,5,2,1,7,3,4,26]</t>
  </si>
  <si>
    <t>V0: [0,20,22,24,6,23,18,19,17,25,21,26] ; V1: [0,5,2,1,7,3,4,26] ; V2: [0,8,9,12,14,16,15,13,11,10,26]</t>
  </si>
  <si>
    <t>V0: [0,21,25,17,15,13,11,10,26] ; V1: [0,20,22,24,6,23,18,19,16,14,12,9,8,26] ; V2: [0,5,2,1,7,3,4,26]</t>
  </si>
  <si>
    <t>V0: [0,20,22,24,6,23,18,17,25,21,26] ; V1: [0,5,2,1,7,3,4,26] ; V2: [0,8,13,15,19,16,14,12,9,11,10,26]</t>
  </si>
  <si>
    <t>Instancia</t>
  </si>
  <si>
    <t>FO_sem</t>
  </si>
  <si>
    <t>FO_com</t>
  </si>
  <si>
    <t>Tempo_sem</t>
  </si>
  <si>
    <t>Tempo_com</t>
  </si>
  <si>
    <t>Gap_sem</t>
  </si>
  <si>
    <t>Gap_com</t>
  </si>
  <si>
    <t>Melhoria_FO</t>
  </si>
  <si>
    <t>Delta_Tempo</t>
  </si>
  <si>
    <t>c201</t>
  </si>
  <si>
    <t>c202</t>
  </si>
  <si>
    <t>c203</t>
  </si>
  <si>
    <t>c204</t>
  </si>
  <si>
    <t>c205</t>
  </si>
  <si>
    <t>c206</t>
  </si>
  <si>
    <t>c207</t>
  </si>
  <si>
    <t>V0: [0,13,17,18,19,15,16,14,12,26] ; V1: [0,7,8,10,11,9,6,4,2,1,3,5,26] ; V2: [0,20,24,25,23,22,21,26]</t>
  </si>
  <si>
    <t>NO IMPROVE</t>
  </si>
  <si>
    <t>tam25_cap200_tabu0_inst0_cons0</t>
  </si>
  <si>
    <t>V0: [0,23,22,4,25,26] ; V1: [0,5,16,6,26] ; V2: [0,12,9,20,1,26] ; V3: [0,2,21,3,24,26] ; V4: [0,11,19,10,26] ; V5: [0,7,8,17,26] ; V6: [0,18,26] ; V7: [0,14,15,13,26]</t>
  </si>
  <si>
    <t>Analise</t>
  </si>
  <si>
    <t>tam25_cap200_tabu0_inst0_cons1</t>
  </si>
  <si>
    <t>V0: [0,2,21,3,24,25,26] ; V1: [0,12,9,20,1,26] ; V2: [0,11,19,10,26] ; V3: [0,23,22,4,26] ; V4: [0,18,26] ; V5: [0,5,16,6,26] ; V6: [0,14,15,13,26] ; V7: [0,7,8,17,26]</t>
  </si>
  <si>
    <t>tam25_cap200_tabu0_inst0_cons2</t>
  </si>
  <si>
    <t>V0: [0,12,9,20,1,26] ; V1: [0,23,22,4,26] ; V2: [0,11,19,10,26] ; V3: [0,7,8,17,26] ; V4: [0,14,15,13,26] ; V5: [0,18,26] ; V6: [0,5,16,6,26] ; V7: [0,2,21,3,24,25,26]</t>
  </si>
  <si>
    <t>tam25_cap200_tabu0_inst0_cons3</t>
  </si>
  <si>
    <t>V0: [0,12,9,20,26] ; V1: [0,7,8,26] ; V2: [0,18,26] ; V3: [0,14,15,6,13,26] ; V4: [0,5,16,17,26] ; V5: [0,23,22,4,26] ; V6: [0,11,19,10,1,26] ; V7: [0,2,21,3,24,25,26]</t>
  </si>
  <si>
    <t>tam25_cap200_tabu0_inst0_cons22</t>
  </si>
  <si>
    <t>V0: [0,5,16,6,26] ; V1: [0,14,15,13,26] ; V2: [0,12,9,20,1,26] ; V3: [0,7,8,17,26] ; V4: [0,18,26] ; V5: [0,11,19,10,26] ; V6: [0,2,21,3,24,26] ; V7: [0,23,22,4,25,26]</t>
  </si>
  <si>
    <t>V0: [0,14,16,6,13,26] ; V1: [0,7,11,19,10,26] ; V2: [0,21,23,24,12,26] ; V3: [0,2,15,22,4,25,26] ; V4: [0,8,17,5,26] ; V5: [0,3,9,20,1,26] ; V6: [0,18,26]</t>
  </si>
  <si>
    <t>V0: [0,21,23,24,12,26] ; V1: [0,2,15,22,4,25,26] ; V2: [0,3,9,20,1,26] ; V3: [0,8,17,5,26] ; V4: [0,18,26] ; V5: [0,7,11,19,10,26] ; V6: [0,14,16,6,13,26]</t>
  </si>
  <si>
    <t>V0: [0,8,17,5,26] ; V1: [0,3,9,20,1,26] ; V2: [0,21,23,24,12,26] ; V3: [0,18,26] ; V4: [0,7,11,19,10,26] ; V5: [0,14,16,6,13,26] ; V6: [0,2,15,22,4,25,26]</t>
  </si>
  <si>
    <t>V0: [0,2,15,22,4,25,12,26] ; V1: [0,3,9,20,1,26] ; V2: [0,18,6,13,26] ; V3: [0,8,26] ; V4: [0,7,11,19,10,26] ; V5: [0,14,16,17,5,26] ; V6: [0,21,23,24,26]</t>
  </si>
  <si>
    <t>V0: [0,21,23,24,12,26] ; V1: [0,2,15,22,4,25,26] ; V2: [0,18,6,13,26] ; V3: [0,8,10,26] ; V4: [0,16,17,26] ; V5: [0,5,11,19,3,26] ; V6: [0,14,9,20,1,7,26]</t>
  </si>
  <si>
    <t>V0: [0,7,19,11,8,18,26] ; V1: [0,12,24,3,9,10,20,1,26] ; V2: [0,2,15,14,16,17,5,26] ; V3: [0,6,13,26] ; V4: [0,21,23,22,4,25,26]</t>
  </si>
  <si>
    <t>V0: [0,2,15,14,16,17,5,26] ; V1: [0,7,19,11,8,18,26] ; V2: [0,21,23,22,4,25,26] ; V3: [0,6,13,26] ; V4: [0,12,24,3,9,10,20,1,26]</t>
  </si>
  <si>
    <t>V0: [0,12,24,3,9,10,20,1,26] ; V1: [0,21,23,22,4,25,26] ; V2: [0,2,15,14,16,17,5,26] ; V3: [0,6,13,26] ; V4: [0,7,19,11,8,18,26]</t>
  </si>
  <si>
    <t>V0: [0,24,3,9,10,20,1,26] ; V1: [0,6,13,26] ; V2: [0,15,14,16,17,5,26] ; V3: [0,7,19,11,8,18,26] ; V4: [0,2,21,23,22,4,25,12,26]</t>
  </si>
  <si>
    <t>V0: [0,21,23,22,4,25,26] ; V1: [0,2,15,14,16,17,5,26] ; V2: [0,6,13,26] ; V3: [0,7,19,11,8,18,26] ; V4: [0,12,24,3,9,10,20,1,26]</t>
  </si>
  <si>
    <t>V0: [0,7,19,11,8,18,6,13,26] ; V1: [0,1,10,20,9,3,24,12,26] ; V2: [0,2,15,14,16,17,5,26] ; V3: [0,21,22,23,4,25,26]</t>
  </si>
  <si>
    <t>V0: [0,21,22,23,4,25,26] ; V1: [0,2,15,14,16,17,5,26] ; V2: [0,7,19,11,8,18,6,13,26] ; V3: [0,1,10,20,9,3,24,12,26]</t>
  </si>
  <si>
    <t>V0: [0,2,15,14,16,17,5,26] ; V1: [0,21,22,23,4,25,26] ; V2: [0,1,10,20,9,3,24,12,26] ; V3: [0,7,19,11,8,18,6,13,26]</t>
  </si>
  <si>
    <t>V0: [0,1,10,20,9,3,24,25,12,26] ; V1: [0,7,19,11,8,17,16,5,18,26] ; V2: [0,21,22,23,4,26] ; V3: [0,6,14,15,2,13,26]</t>
  </si>
  <si>
    <t>V0: [0,7,19,11,8,18,6,13,26] ; V1: [0,2,15,14,16,17,5,26] ; V2: [0,21,22,23,4,25,12,26] ; V3: [0,24,3,9,20,10,1,26]</t>
  </si>
  <si>
    <t>V0: [0,5,14,16,6,26] ; V1: [0,19,11,10,20,1,26] ; V2: [0,7,18,8,17,26] ; V3: [0,12,9,3,24,26] ; V4: [0,2,15,13,26] ; V5: [0,21,23,22,4,25,26]</t>
  </si>
  <si>
    <t>V0: [0,19,11,10,20,1,26] ; V1: [0,12,9,3,24,25,26] ; V2: [0,5,14,16,6,26] ; V3: [0,7,18,8,17,26] ; V4: [0,2,15,13,26] ; V5: [0,21,23,22,4,26]</t>
  </si>
  <si>
    <t>V0: [0,21,23,22,4,25,26] ; V1: [0,19,11,10,20,1,26] ; V2: [0,7,18,8,17,26] ; V3: [0,5,14,16,6,26] ; V4: [0,12,9,3,24,26] ; V5: [0,2,15,13,26]</t>
  </si>
  <si>
    <t>V0: [0,18,6,26] ; V1: [0,21,23,22,4,26] ; V2: [0,12,9,3,24,25,26] ; V3: [0,5,14,16,8,17,26] ; V4: [0,11,19,7,10,20,1,26] ; V5: [0,2,15,13,26]</t>
  </si>
  <si>
    <t>V0: [0,2,15,13,26] ; V1: [0,21,23,22,4,26] ; V2: [0,12,9,3,24,25,26] ; V3: [0,19,11,10,20,1,26] ; V4: [0,7,18,8,17,26] ; V5: [0,5,14,16,6,26]</t>
  </si>
  <si>
    <t>V0: [0,1,9,20,3,24,26] ; V1: [0,14,16,6,13,26] ; V2: [0,18,8,17,5,26] ; V3: [0,2,15,23,22,21,4,25,12,26] ; V4: [0,7,19,11,10,26]</t>
  </si>
  <si>
    <t>V0: [0,7,19,11,10,26] ; V1: [0,2,15,23,22,4,25,21,26] ; V2: [0,18,8,17,5,26] ; V3: [0,14,16,6,13,26] ; V4: [0,1,9,20,3,24,12,26]</t>
  </si>
  <si>
    <t>V0: [0,7,19,11,10,26] ; V1: [0,2,15,23,22,4,25,21,26] ; V2: [0,14,16,6,13,26] ; V3: [0,1,9,20,3,24,12,26] ; V4: [0,18,8,17,5,26]</t>
  </si>
  <si>
    <t>V0: [0,19,11,10,20,26] ; V1: [0,2,14,16,5,6,13,26] ; V2: [0,7,18,8,17,26] ; V3: [0,21,15,23,22,4,25,12,26] ; V4: [0,1,9,3,24,26]</t>
  </si>
  <si>
    <t>V0: [0,18,7,11,19,8,17,16,5,26] ; V1: [0,21,23,22,4,25,24,26] ; V2: [0,12,3,9,20,10,1,26] ; V3: [0,2,15,14,6,13,26]</t>
  </si>
  <si>
    <t>V0: [0,12,3,9,20,10,1,26] ; V1: [0,18,7,11,19,8,17,16,5,26] ; V2: [0,21,23,22,4,25,24,26] ; V3: [0,2,15,14,6,13,26]</t>
  </si>
  <si>
    <t>V0: [0,23,22,21,4,25,24,26] ; V1: [0,18,7,11,19,8,17,16,5,26] ; V2: [0,12,3,9,20,10,1,26] ; V3: [0,2,15,14,6,13,26]</t>
  </si>
  <si>
    <t>V0: [0,21,23,22,4,25,24,26] ; V1: [0,2,15,14,6,13,26] ; V2: [0,12,3,9,20,10,1,26] ; V3: [0,18,7,11,19,8,17,16,5,26]</t>
  </si>
  <si>
    <t>V0: [0,12,24,3,9,20,1,26] ; V1: [0,10,19,11,7,8,18,26] ; V2: [0,2,15,23,22,4,25,21,26] ; V3: [0,6,5,17,16,14,13,26]</t>
  </si>
  <si>
    <t>V0: [0,2,15,14,16,17,5,6,13,26] ; V1: [0,7,10,11,19,8,18,26] ; V2: [0,1,20,9,3,12,26] ; V3: [0,21,22,23,4,25,24,26]</t>
  </si>
  <si>
    <t>V0: [0,7,10,11,19,8,18,26] ; V1: [0,2,15,14,16,17,5,6,13,26] ; V2: [0,1,20,9,3,12,26] ; V3: [0,21,22,23,4,25,24,26]</t>
  </si>
  <si>
    <t>V0: [0,14,15,2,13,26] ; V1: [0,21,22,23,4,25,24,26] ; V2: [0,12,3,9,20,10,1,26] ; V3: [0,18,7,11,19,8,17,16,5,6,26]</t>
  </si>
  <si>
    <t>V0: [0,22,23,4,12,26] ; V1: [0,1,20,9,3,24,25,21,26] ; V2: [0,7,10,11,19,8,18,26] ; V3: [0,2,15,14,16,17,5,6,13,26]</t>
  </si>
  <si>
    <t>V0: [0,21,22,23,4,25,24,26] ; V1: [0,12,3,9,20,1,26] ; V2: [0,7,19,11,10,26] ; V3: [0,5,8,18,6,26] ; V4: [0,2,15,14,16,17,13,26]</t>
  </si>
  <si>
    <t>V0: [0,12,3,9,20,1,26] ; V1: [0,2,15,14,16,17,13,26] ; V2: [0,5,8,18,6,26] ; V3: [0,21,22,23,4,25,24,26] ; V4: [0,7,19,11,10,26]</t>
  </si>
  <si>
    <t>V0: [0,12,3,9,20,1,26] ; V1: [0,21,22,23,4,25,24,26] ; V2: [0,2,15,14,16,17,13,26] ; V3: [0,7,19,11,10,26] ; V4: [0,5,8,18,6,26]</t>
  </si>
  <si>
    <t>V0: [0,12,9,3,24,25,4,26] ; V1: [0,18,8,6,26] ; V2: [0,21,23,22,13,26] ; V3: [0,5,7,19,11,10,20,1,26] ; V4: [0,2,15,14,16,17,26]</t>
  </si>
  <si>
    <t>V0: [0,5,8,18,6,26] ; V1: [0,2,15,14,16,17,13,26] ; V2: [0,7,19,11,10,26] ; V3: [0,21,22,23,4,25,24,26] ; V4: [0,12,3,9,20,1,26]</t>
  </si>
  <si>
    <t>V0: [0,5,16,14,15,22,23,13,26] ; V1: [0,11,19,7,10,20,9,1,26] ; V2: [0,18,8,17,6,26] ; V3: [0,2,21,12,3,24,25,4,26]</t>
  </si>
  <si>
    <t>V0: [0,18,8,17,6,26] ; V1: [0,5,16,14,15,22,23,13,26] ; V2: [0,2,21,12,3,24,25,4,26] ; V3: [0,11,19,7,10,20,9,1,26]</t>
  </si>
  <si>
    <t>V0: [0,5,16,14,15,22,23,25,26] ; V1: [0,21,2,6,18,8,17,13,26] ; V2: [0,11,19,7,10,20,9,1,26] ; V3: [0,12,3,24,4,26]</t>
  </si>
  <si>
    <t>V0: [0,5,16,14,15,22,23,13,26] ; V1: [0,18,8,17,6,26] ; V2: [0,11,19,7,10,20,9,1,26] ; V3: [0,2,21,12,3,24,25,4,26]</t>
  </si>
  <si>
    <t>V0: [0,7,11,19,8,18,17,5,26] ; V1: [0,21,23,22,4,25,24,26] ; V2: [0,12,3,9,20,10,1,26] ; V3: [0,2,15,14,16,6,13,26]</t>
  </si>
  <si>
    <t>V0: [0,2,15,14,16,6,13,26] ; V1: [0,12,3,9,20,10,1,26] ; V2: [0,21,23,22,4,25,24,26] ; V3: [0,7,11,19,8,18,17,5,26]</t>
  </si>
  <si>
    <t>V0: [0,21,15,23,22,4,25,24,26] ; V1: [0,6,16,14,2,13,26] ; V2: [0,12,3,9,20,10,1,26] ; V3: [0,7,11,19,8,18,17,5,26]</t>
  </si>
  <si>
    <t>V0: [0,12,3,9,20,10,1,26] ; V1: [0,2,15,14,16,6,13,26] ; V2: [0,7,11,19,8,18,17,5,26] ; V3: [0,21,23,22,4,25,24,26]</t>
  </si>
  <si>
    <t>V0: [0,13,21,22,23,25,4,26] ; V1: [0,2,15,14,16,17,5,6,26] ; V2: [0,12,24,3,9,20,1,26] ; V3: [0,18,8,7,19,11,10,26]</t>
  </si>
  <si>
    <t>V0: [0,12,24,3,9,20,1,26] ; V1: [0,18,8,7,19,11,10,26] ; V2: [0,13,21,22,23,25,4,26] ; V3: [0,2,15,14,16,17,5,6,26]</t>
  </si>
  <si>
    <t>V0: [0,2,15,14,16,17,5,6,13,26] ; V1: [0,12,3,9,20,1,26] ; V2: [0,21,22,23,4,25,24,26] ; V3: [0,18,8,7,19,11,10,26]</t>
  </si>
  <si>
    <t>V0: [0,16,14,12,15,25,21,26] ; V1: [0,5,2,1,7,3,4,26] ; V2: [0,20,22,24,6,23,18,19,17,13,9,11,10,8,26]</t>
  </si>
  <si>
    <t>V0: [0,5,2,1,7,3,4,26] ; V1: [0,20,22,24,6,23,18,17,25,21,26] ; V2: [0,19,16,14,12,15,13,9,11,10,8,26]</t>
  </si>
  <si>
    <t>V0: [0,5,2,1,7,3,4,26] ; V1: [0,19,16,14,12,15,13,9,11,10,8,26] ; V2: [0,20,22,24,6,23,18,17,25,21,26]</t>
  </si>
  <si>
    <t>V0: [0,20,22,24,21,26] ; V1: [0,6,23,18,19,15,17,13,25,11,26] ; V2: [0,5,2,1,7,3,4,16,14,12,9,10,8,26]</t>
  </si>
  <si>
    <t>V0: [0,5,2,1,7,3,4,26] ; V1: [0,19,16,14,12,15,13,9,11,10,8,26] ; V2: [0,22,20,24,6,23,18,17,25,21,26]</t>
  </si>
  <si>
    <t>V0: [0,12,16,14,15,13,9,11,10,8,26] ; V1: [0,4,3,7,1,2,5,26] ; V2: [0,20,22,24,6,23,18,19,17,25,21,26]</t>
  </si>
  <si>
    <t>V0: [0,18,16,14,12,9,11,10,26] ; V1: [0,24,6,23,19,15,17,13,25,8,26] ; V2: [0,20,22,21,5,2,1,7,3,4,26]</t>
  </si>
  <si>
    <t>V0: [0,23,18,19,9,11,26] ; V1: [0,20,22,24,6,21,5,2,1,7,3,4,10,8,26] ; V2: [0,12,16,14,15,17,13,25,26]</t>
  </si>
  <si>
    <t>V0: [0,2,1,7,3,4,26] ; V1: [0,20,22,24,6,23,18,19,16,14,12,9,8,26] ; V2: [0,21,15,17,13,25,11,10,5,26]</t>
  </si>
  <si>
    <t>V0: [0,9,12,14,16,19,18,26] ; V1: [0,4,3,7,1,2,5,11,10,8,21,26] ; V2: [0,20,22,24,6,23,15,17,13,25,26]</t>
  </si>
  <si>
    <t>V0: [0,21,22,6,26] ; V1: [0,20,24,23,18,19,16,15,17,25,26] ; V2: [0,5,2,3,7,4,1,14,12,13,9,11,10,8,26]</t>
  </si>
  <si>
    <t>V0: [0,15,19,16,14,12,9,26] ; V1: [0,20,22,24,6,23,18,17,13,25,21,26] ; V2: [0,4,3,7,1,2,5,11,10,8,26]</t>
  </si>
  <si>
    <t>V0: [0,23,15,17,13,25,9,11,10,5,8,26] ; V1: [0,20,22,24,6,26] ; V2: [0,21,18,19,16,14,12,2,1,7,3,4,26]</t>
  </si>
  <si>
    <t>V0: [0,3,13,17,18,19,15,16,14,12,26] ; V1: [0,20,24,25,23,22,21,26] ; V2: [0,5,7,8,10,11,9,6,4,2,1,26]</t>
  </si>
  <si>
    <t>0.0</t>
  </si>
  <si>
    <t>-0.0</t>
  </si>
  <si>
    <t>agoracom MIP</t>
  </si>
  <si>
    <t>COM MIP</t>
  </si>
  <si>
    <t>m</t>
  </si>
  <si>
    <t>10 X LITERATURA Sem Mip</t>
  </si>
  <si>
    <t>10 X LITERATURA COM Mip</t>
  </si>
  <si>
    <t>10 X LITERATURA SEM Mip</t>
  </si>
  <si>
    <t>MIP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</si>
</sst>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theme="1"/>
      <name val="Aptos Narrow"/>
      <family val="2"/>
      <scheme val="minor"/>
    </font>
    <font>
      <sz val="8"/>
      <color rgb="FFCCCCCC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center"/>
    </xf>
    <xf numFmtId="22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16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22" fontId="0" fillId="2" borderId="0" xfId="0" applyNumberForma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5" borderId="0" xfId="0" applyFill="1"/>
    <xf numFmtId="0" fontId="0" fillId="0" borderId="2" xfId="0" applyBorder="1"/>
    <xf numFmtId="0" fontId="0" fillId="6" borderId="6" xfId="0" applyFill="1" applyBorder="1"/>
    <xf numFmtId="0" fontId="0" fillId="7" borderId="6" xfId="0" applyFill="1" applyBorder="1"/>
    <xf numFmtId="0" fontId="0" fillId="8" borderId="6" xfId="0" applyFill="1" applyBorder="1"/>
    <xf numFmtId="0" fontId="0" fillId="6" borderId="6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center"/>
    </xf>
    <xf numFmtId="22" fontId="0" fillId="0" borderId="2" xfId="0" applyNumberFormat="1" applyBorder="1"/>
    <xf numFmtId="0" fontId="0" fillId="6" borderId="7" xfId="0" applyFill="1" applyBorder="1"/>
    <xf numFmtId="0" fontId="0" fillId="8" borderId="7" xfId="0" applyFill="1" applyBorder="1"/>
    <xf numFmtId="0" fontId="0" fillId="9" borderId="0" xfId="0" applyFill="1"/>
    <xf numFmtId="0" fontId="0" fillId="9" borderId="6" xfId="0" applyFill="1" applyBorder="1"/>
    <xf numFmtId="22" fontId="0" fillId="9" borderId="0" xfId="0" applyNumberFormat="1" applyFill="1"/>
    <xf numFmtId="0" fontId="0" fillId="8" borderId="0" xfId="0" applyFill="1"/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10" borderId="0" xfId="0" applyFill="1"/>
    <xf numFmtId="0" fontId="1" fillId="0" borderId="8" xfId="0" applyFont="1" applyBorder="1" applyAlignment="1">
      <alignment vertical="center"/>
    </xf>
    <xf numFmtId="0" fontId="0" fillId="0" borderId="9" xfId="0" applyBorder="1"/>
    <xf numFmtId="0" fontId="0" fillId="10" borderId="9" xfId="0" applyFill="1" applyBorder="1"/>
    <xf numFmtId="22" fontId="0" fillId="0" borderId="10" xfId="0" applyNumberFormat="1" applyBorder="1"/>
    <xf numFmtId="0" fontId="1" fillId="8" borderId="11" xfId="0" applyFont="1" applyFill="1" applyBorder="1" applyAlignment="1">
      <alignment vertical="center"/>
    </xf>
    <xf numFmtId="0" fontId="0" fillId="8" borderId="12" xfId="0" applyFill="1" applyBorder="1"/>
    <xf numFmtId="22" fontId="0" fillId="8" borderId="13" xfId="0" applyNumberFormat="1" applyFill="1" applyBorder="1"/>
    <xf numFmtId="0" fontId="1" fillId="0" borderId="11" xfId="0" applyFont="1" applyBorder="1" applyAlignment="1">
      <alignment vertical="center"/>
    </xf>
    <xf numFmtId="0" fontId="0" fillId="0" borderId="12" xfId="0" applyBorder="1"/>
    <xf numFmtId="22" fontId="0" fillId="0" borderId="13" xfId="0" applyNumberFormat="1" applyBorder="1"/>
    <xf numFmtId="3" fontId="0" fillId="0" borderId="0" xfId="0" applyNumberFormat="1"/>
    <xf numFmtId="0" fontId="0" fillId="7" borderId="14" xfId="0" applyFill="1" applyBorder="1"/>
    <xf numFmtId="0" fontId="0" fillId="7" borderId="15" xfId="0" applyFill="1" applyBorder="1"/>
    <xf numFmtId="0" fontId="0" fillId="7" borderId="16" xfId="0" applyFill="1" applyBorder="1"/>
    <xf numFmtId="164" fontId="0" fillId="0" borderId="17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4" fontId="0" fillId="2" borderId="18" xfId="0" applyNumberFormat="1" applyFill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0" fillId="7" borderId="20" xfId="0" applyFill="1" applyBorder="1"/>
    <xf numFmtId="0" fontId="0" fillId="7" borderId="21" xfId="0" applyFill="1" applyBorder="1"/>
    <xf numFmtId="0" fontId="0" fillId="7" borderId="2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123133</xdr:colOff>
      <xdr:row>1</xdr:row>
      <xdr:rowOff>67368</xdr:rowOff>
    </xdr:from>
    <xdr:to>
      <xdr:col>20</xdr:col>
      <xdr:colOff>332915</xdr:colOff>
      <xdr:row>31</xdr:row>
      <xdr:rowOff>87314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630E074-41D0-4035-BF4B-50DB39889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6769" y="240550"/>
          <a:ext cx="5058873" cy="5215400"/>
        </a:xfrm>
        <a:prstGeom prst="rect">
          <a:avLst/>
        </a:prstGeom>
      </xdr:spPr>
    </xdr:pic>
    <xdr:clientData/>
  </xdr:twoCellAnchor>
  <xdr:twoCellAnchor editAs="oneCell">
    <xdr:from>
      <xdr:col>15</xdr:col>
      <xdr:colOff>582632</xdr:colOff>
      <xdr:row>9</xdr:row>
      <xdr:rowOff>2390</xdr:rowOff>
    </xdr:from>
    <xdr:to>
      <xdr:col>26</xdr:col>
      <xdr:colOff>313051</xdr:colOff>
      <xdr:row>39</xdr:row>
      <xdr:rowOff>55600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169F150-0E11-4811-A9F9-755956127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5426" y="1649655"/>
          <a:ext cx="6427801" cy="5544092"/>
        </a:xfrm>
        <a:prstGeom prst="rect">
          <a:avLst/>
        </a:prstGeom>
      </xdr:spPr>
    </xdr:pic>
    <xdr:clientData/>
  </xdr:twoCellAnchor>
  <xdr:twoCellAnchor editAs="oneCell">
    <xdr:from>
      <xdr:col>27</xdr:col>
      <xdr:colOff>94326</xdr:colOff>
      <xdr:row>3</xdr:row>
      <xdr:rowOff>52012</xdr:rowOff>
    </xdr:from>
    <xdr:to>
      <xdr:col>33</xdr:col>
      <xdr:colOff>198852</xdr:colOff>
      <xdr:row>19</xdr:row>
      <xdr:rowOff>128763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F3F6D44-92EC-49ED-93B6-6D164AEB5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60008" y="571557"/>
          <a:ext cx="3741344" cy="28476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0F38-3AAA-4AE8-A813-A7C28ACA7776}">
  <dimension ref="A1:BG109"/>
  <sheetViews>
    <sheetView tabSelected="1" zoomScale="70" zoomScaleNormal="70" workbookViewId="0">
      <pane ySplit="1" topLeftCell="A16" activePane="bottomLeft" state="frozen"/>
      <selection pane="bottomLeft" activeCell="AI30" sqref="AI30"/>
    </sheetView>
  </sheetViews>
  <sheetFormatPr defaultRowHeight="14.4"/>
  <cols>
    <col min="1" max="1" width="17.77734375" customWidth="1"/>
    <col min="2" max="2" width="25.21875" customWidth="1"/>
    <col min="3" max="3" width="8.88671875" customWidth="1"/>
    <col min="4" max="4" width="13.77734375" customWidth="1"/>
    <col min="5" max="5" width="16.5546875" bestFit="1" customWidth="1"/>
    <col min="6" max="6" width="15.21875" customWidth="1"/>
    <col min="7" max="7" width="7.109375" customWidth="1"/>
    <col min="8" max="8" width="9.44140625" customWidth="1"/>
    <col min="9" max="9" width="12" bestFit="1" customWidth="1"/>
    <col min="10" max="10" width="2" bestFit="1" customWidth="1"/>
    <col min="11" max="11" width="3.33203125" bestFit="1" customWidth="1"/>
    <col min="12" max="12" width="9.5546875" bestFit="1" customWidth="1"/>
    <col min="13" max="13" width="11.5546875" bestFit="1" customWidth="1"/>
    <col min="14" max="15" width="9.5546875" bestFit="1" customWidth="1"/>
    <col min="16" max="16" width="8.88671875" bestFit="1" customWidth="1"/>
    <col min="17" max="17" width="12.44140625" bestFit="1" customWidth="1"/>
    <col min="18" max="18" width="5.44140625" customWidth="1"/>
    <col min="19" max="19" width="12.109375" bestFit="1" customWidth="1"/>
    <col min="20" max="20" width="9.109375" customWidth="1"/>
    <col min="21" max="21" width="4.77734375" hidden="1" customWidth="1"/>
    <col min="22" max="22" width="12.5546875" customWidth="1"/>
    <col min="23" max="23" width="2.44140625" customWidth="1"/>
    <col min="24" max="25" width="20.33203125" customWidth="1"/>
    <col min="26" max="26" width="12.6640625" customWidth="1"/>
    <col min="28" max="28" width="15" customWidth="1"/>
    <col min="29" max="29" width="17.33203125" bestFit="1" customWidth="1"/>
    <col min="30" max="30" width="9.33203125" bestFit="1" customWidth="1"/>
    <col min="31" max="31" width="11.109375" bestFit="1" customWidth="1"/>
    <col min="32" max="32" width="9.44140625" bestFit="1" customWidth="1"/>
    <col min="36" max="36" width="6.6640625" customWidth="1"/>
    <col min="40" max="40" width="9.33203125" bestFit="1" customWidth="1"/>
    <col min="41" max="41" width="11.109375" bestFit="1" customWidth="1"/>
    <col min="49" max="49" width="22.6640625" customWidth="1"/>
    <col min="51" max="51" width="18.88671875" bestFit="1" customWidth="1"/>
  </cols>
  <sheetData>
    <row r="1" spans="1:59">
      <c r="B1" t="s">
        <v>155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V1" t="s">
        <v>51</v>
      </c>
      <c r="Y1" s="33" t="s">
        <v>154</v>
      </c>
      <c r="Z1" s="33"/>
      <c r="AA1" s="33"/>
      <c r="AB1" s="33"/>
      <c r="AC1" s="33"/>
      <c r="AD1" s="33"/>
      <c r="AE1" s="33"/>
      <c r="AF1" s="33"/>
      <c r="AG1" s="33"/>
      <c r="AI1" s="33" t="s">
        <v>345</v>
      </c>
      <c r="AJ1" s="33"/>
      <c r="AK1" s="33"/>
      <c r="AL1" s="33"/>
      <c r="AM1" s="33"/>
      <c r="AN1" s="33"/>
      <c r="AO1" s="33"/>
      <c r="AP1" s="33"/>
      <c r="AQ1" s="33"/>
    </row>
    <row r="2" spans="1:59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V2" t="s">
        <v>51</v>
      </c>
      <c r="W2" t="s">
        <v>52</v>
      </c>
      <c r="Y2" s="22" t="s">
        <v>94</v>
      </c>
      <c r="Z2" s="22" t="s">
        <v>95</v>
      </c>
      <c r="AA2" s="22" t="s">
        <v>96</v>
      </c>
      <c r="AB2" s="22" t="s">
        <v>97</v>
      </c>
      <c r="AC2" s="22" t="s">
        <v>98</v>
      </c>
      <c r="AD2" s="22" t="s">
        <v>99</v>
      </c>
      <c r="AE2" s="22" t="s">
        <v>100</v>
      </c>
      <c r="AF2" s="22" t="s">
        <v>101</v>
      </c>
      <c r="AG2" s="22" t="s">
        <v>102</v>
      </c>
      <c r="AI2" s="22" t="s">
        <v>94</v>
      </c>
      <c r="AJ2" s="22" t="s">
        <v>95</v>
      </c>
      <c r="AK2" s="22" t="s">
        <v>96</v>
      </c>
      <c r="AL2" s="22" t="s">
        <v>97</v>
      </c>
      <c r="AM2" s="22" t="s">
        <v>98</v>
      </c>
      <c r="AN2" s="22" t="s">
        <v>99</v>
      </c>
      <c r="AO2" s="22" t="s">
        <v>100</v>
      </c>
      <c r="AP2" s="22" t="s">
        <v>101</v>
      </c>
      <c r="AQ2" s="22" t="s">
        <v>102</v>
      </c>
    </row>
    <row r="3" spans="1:59" ht="15" thickBot="1">
      <c r="A3" s="3" t="s">
        <v>0</v>
      </c>
      <c r="B3" s="21" t="s">
        <v>134</v>
      </c>
      <c r="C3" s="3">
        <v>0</v>
      </c>
      <c r="D3" s="3">
        <v>0</v>
      </c>
      <c r="E3" s="3">
        <v>10</v>
      </c>
      <c r="F3" s="3">
        <v>25</v>
      </c>
      <c r="G3" s="3">
        <v>27</v>
      </c>
      <c r="H3" s="3">
        <v>3</v>
      </c>
      <c r="I3" s="3">
        <v>200</v>
      </c>
      <c r="J3" s="3">
        <v>0</v>
      </c>
      <c r="K3" s="3" t="s">
        <v>1</v>
      </c>
      <c r="L3" s="3">
        <v>0.2661</v>
      </c>
      <c r="M3" s="18">
        <v>108.8039</v>
      </c>
      <c r="N3" s="19">
        <v>191.81360000000001</v>
      </c>
      <c r="O3" s="19">
        <v>191.81360000000001</v>
      </c>
      <c r="P3" s="3">
        <v>0</v>
      </c>
      <c r="Q3" s="3">
        <v>1</v>
      </c>
      <c r="R3" s="20">
        <v>1</v>
      </c>
      <c r="S3" s="20">
        <v>975</v>
      </c>
      <c r="T3" s="3" t="s">
        <v>135</v>
      </c>
      <c r="U3" s="3" t="s">
        <v>136</v>
      </c>
      <c r="V3" s="6">
        <v>46113.821712962963</v>
      </c>
      <c r="X3" s="6"/>
      <c r="Y3" t="s">
        <v>115</v>
      </c>
      <c r="Z3">
        <v>25</v>
      </c>
      <c r="AA3">
        <v>332</v>
      </c>
      <c r="AB3">
        <v>191.3</v>
      </c>
      <c r="AC3">
        <v>191.3</v>
      </c>
      <c r="AD3">
        <v>3</v>
      </c>
      <c r="AE3">
        <v>1</v>
      </c>
      <c r="AF3">
        <v>498</v>
      </c>
      <c r="AG3">
        <v>18.600000000000001</v>
      </c>
      <c r="AI3" t="s">
        <v>115</v>
      </c>
      <c r="AJ3">
        <v>25</v>
      </c>
      <c r="AL3">
        <v>191.3</v>
      </c>
      <c r="AM3">
        <v>191.3</v>
      </c>
      <c r="AN3">
        <v>3</v>
      </c>
      <c r="AO3">
        <v>1</v>
      </c>
      <c r="AP3">
        <f>S3/AF3</f>
        <v>1.9578313253012047</v>
      </c>
      <c r="AQ3">
        <f>M3/AG3</f>
        <v>5.8496720430107523</v>
      </c>
    </row>
    <row r="4" spans="1:59" ht="15" thickBot="1">
      <c r="A4" s="3" t="s">
        <v>0</v>
      </c>
      <c r="B4" s="21" t="s">
        <v>137</v>
      </c>
      <c r="C4" s="3">
        <v>0</v>
      </c>
      <c r="D4" s="3">
        <v>0</v>
      </c>
      <c r="E4" s="3">
        <v>10</v>
      </c>
      <c r="F4" s="3">
        <v>25</v>
      </c>
      <c r="G4" s="3">
        <v>27</v>
      </c>
      <c r="H4" s="3">
        <v>3</v>
      </c>
      <c r="I4" s="3">
        <v>200</v>
      </c>
      <c r="J4" s="3">
        <v>0</v>
      </c>
      <c r="K4" s="3" t="s">
        <v>1</v>
      </c>
      <c r="L4" s="3">
        <v>19.594999999999999</v>
      </c>
      <c r="M4" s="18">
        <v>828.12469999999996</v>
      </c>
      <c r="N4" s="19">
        <v>190.73759999999999</v>
      </c>
      <c r="O4" s="19">
        <v>190.73759999999999</v>
      </c>
      <c r="P4" s="3">
        <v>0</v>
      </c>
      <c r="Q4" s="3">
        <v>1</v>
      </c>
      <c r="R4" s="20">
        <v>1</v>
      </c>
      <c r="S4" s="20">
        <v>2391</v>
      </c>
      <c r="T4" s="3" t="s">
        <v>138</v>
      </c>
      <c r="U4" s="3" t="s">
        <v>139</v>
      </c>
      <c r="V4" s="6">
        <v>46113.831516203703</v>
      </c>
      <c r="X4" s="6"/>
      <c r="Y4" t="s">
        <v>116</v>
      </c>
      <c r="Z4">
        <v>25</v>
      </c>
      <c r="AA4">
        <v>473</v>
      </c>
      <c r="AB4">
        <v>190.3</v>
      </c>
      <c r="AC4">
        <v>190.3</v>
      </c>
      <c r="AD4">
        <v>3</v>
      </c>
      <c r="AE4">
        <v>1</v>
      </c>
      <c r="AF4">
        <v>534</v>
      </c>
      <c r="AG4">
        <v>79.7</v>
      </c>
      <c r="AI4" t="s">
        <v>116</v>
      </c>
      <c r="AJ4">
        <v>25</v>
      </c>
      <c r="AL4">
        <v>190.3</v>
      </c>
      <c r="AM4">
        <v>190.3</v>
      </c>
      <c r="AN4">
        <v>3</v>
      </c>
      <c r="AO4">
        <v>1</v>
      </c>
      <c r="AP4">
        <f t="shared" ref="AP4:AP11" si="0">S4/AF4</f>
        <v>4.4775280898876408</v>
      </c>
      <c r="AQ4">
        <f t="shared" ref="AQ4:AQ11" si="1">M4/AG4</f>
        <v>10.390523212045169</v>
      </c>
      <c r="AU4" s="6"/>
      <c r="AX4" s="30" t="s">
        <v>53</v>
      </c>
      <c r="AY4" s="31"/>
      <c r="AZ4" s="31"/>
      <c r="BA4" s="31"/>
      <c r="BB4" s="32"/>
    </row>
    <row r="5" spans="1:59" s="4" customFormat="1">
      <c r="A5" s="3" t="s">
        <v>0</v>
      </c>
      <c r="B5" s="21" t="s">
        <v>140</v>
      </c>
      <c r="C5" s="3">
        <v>0</v>
      </c>
      <c r="D5" s="3">
        <v>0</v>
      </c>
      <c r="E5" s="3">
        <v>10</v>
      </c>
      <c r="F5" s="3">
        <v>25</v>
      </c>
      <c r="G5" s="3">
        <v>27</v>
      </c>
      <c r="H5" s="3">
        <v>3</v>
      </c>
      <c r="I5" s="3">
        <v>200</v>
      </c>
      <c r="J5" s="3">
        <v>0</v>
      </c>
      <c r="K5" s="3" t="s">
        <v>1</v>
      </c>
      <c r="L5" s="3">
        <v>1201.4903999999999</v>
      </c>
      <c r="M5" s="18">
        <v>1009.9421</v>
      </c>
      <c r="N5" s="19">
        <v>190.73759999999999</v>
      </c>
      <c r="O5" s="19">
        <v>190.73759999999999</v>
      </c>
      <c r="P5" s="3">
        <v>0</v>
      </c>
      <c r="Q5" s="3">
        <v>1</v>
      </c>
      <c r="R5" s="20">
        <v>1</v>
      </c>
      <c r="S5" s="20">
        <v>2328</v>
      </c>
      <c r="T5" s="3" t="s">
        <v>141</v>
      </c>
      <c r="U5" s="3" t="s">
        <v>138</v>
      </c>
      <c r="V5" s="6">
        <v>46113.857118055559</v>
      </c>
      <c r="W5"/>
      <c r="X5" s="9"/>
      <c r="Y5" t="s">
        <v>117</v>
      </c>
      <c r="Z5">
        <v>25</v>
      </c>
      <c r="AA5">
        <v>569</v>
      </c>
      <c r="AB5">
        <v>190.3</v>
      </c>
      <c r="AC5">
        <v>190.3</v>
      </c>
      <c r="AD5">
        <v>3</v>
      </c>
      <c r="AE5">
        <v>1</v>
      </c>
      <c r="AF5">
        <v>447</v>
      </c>
      <c r="AG5">
        <v>134.69999999999999</v>
      </c>
      <c r="AH5"/>
      <c r="AI5" t="s">
        <v>117</v>
      </c>
      <c r="AJ5">
        <v>25</v>
      </c>
      <c r="AK5"/>
      <c r="AL5">
        <v>190.3</v>
      </c>
      <c r="AM5">
        <v>190.3</v>
      </c>
      <c r="AN5">
        <v>3</v>
      </c>
      <c r="AO5">
        <v>1</v>
      </c>
      <c r="AP5">
        <f t="shared" si="0"/>
        <v>5.2080536912751674</v>
      </c>
      <c r="AQ5">
        <f t="shared" si="1"/>
        <v>7.4977141796585007</v>
      </c>
      <c r="AR5"/>
      <c r="AS5"/>
      <c r="AT5"/>
      <c r="AU5"/>
      <c r="AV5"/>
      <c r="AW5" t="s">
        <v>54</v>
      </c>
      <c r="AX5" t="s">
        <v>55</v>
      </c>
      <c r="AY5" t="s">
        <v>56</v>
      </c>
      <c r="AZ5" t="s">
        <v>57</v>
      </c>
      <c r="BA5" t="s">
        <v>56</v>
      </c>
      <c r="BB5" t="s">
        <v>58</v>
      </c>
    </row>
    <row r="6" spans="1:59">
      <c r="A6" s="3" t="s">
        <v>0</v>
      </c>
      <c r="B6" s="21" t="s">
        <v>142</v>
      </c>
      <c r="C6" s="3">
        <v>0</v>
      </c>
      <c r="D6" s="3">
        <v>0</v>
      </c>
      <c r="E6" s="3">
        <v>10</v>
      </c>
      <c r="F6" s="3">
        <v>25</v>
      </c>
      <c r="G6" s="3">
        <v>27</v>
      </c>
      <c r="H6" s="3">
        <v>3</v>
      </c>
      <c r="I6" s="3">
        <v>200</v>
      </c>
      <c r="J6" s="3">
        <v>0</v>
      </c>
      <c r="K6" s="3" t="s">
        <v>1</v>
      </c>
      <c r="L6" s="3">
        <v>1201.9546</v>
      </c>
      <c r="M6" s="18">
        <v>518.47149999999999</v>
      </c>
      <c r="N6" s="19">
        <v>187.4495</v>
      </c>
      <c r="O6" s="19">
        <v>190.74119999999999</v>
      </c>
      <c r="P6" s="3">
        <v>1.7561</v>
      </c>
      <c r="Q6" s="3">
        <v>0</v>
      </c>
      <c r="R6" s="20">
        <v>1</v>
      </c>
      <c r="S6" s="20">
        <v>2121</v>
      </c>
      <c r="T6" s="3" t="s">
        <v>143</v>
      </c>
      <c r="U6" s="3" t="s">
        <v>144</v>
      </c>
      <c r="V6" s="6">
        <v>46113.877025462964</v>
      </c>
      <c r="X6" s="6"/>
      <c r="Y6" t="s">
        <v>118</v>
      </c>
      <c r="Z6">
        <v>25</v>
      </c>
      <c r="AA6">
        <v>604</v>
      </c>
      <c r="AB6">
        <v>186.9</v>
      </c>
      <c r="AC6">
        <v>186.9</v>
      </c>
      <c r="AD6">
        <v>3</v>
      </c>
      <c r="AE6">
        <v>1</v>
      </c>
      <c r="AF6">
        <v>485</v>
      </c>
      <c r="AG6">
        <v>223.9</v>
      </c>
      <c r="AI6" t="s">
        <v>118</v>
      </c>
      <c r="AJ6">
        <v>25</v>
      </c>
      <c r="AL6">
        <v>186.9</v>
      </c>
      <c r="AM6">
        <v>186.9</v>
      </c>
      <c r="AN6">
        <v>3</v>
      </c>
      <c r="AO6">
        <v>1</v>
      </c>
      <c r="AP6">
        <f t="shared" si="0"/>
        <v>4.3731958762886594</v>
      </c>
      <c r="AQ6">
        <f t="shared" si="1"/>
        <v>2.3156386779812417</v>
      </c>
      <c r="AU6" s="6"/>
      <c r="AW6">
        <v>0</v>
      </c>
      <c r="AX6">
        <f>IFERROR(_xlfn.MAXIFS('resultados_finais - Copia (4)'!$P:$P,'resultados_finais - Copia (4)'!$E:$E,AW6,'resultados_finais - Copia (4)'!$P:$P,"&gt;=0"),"")</f>
        <v>9.7492999999999999</v>
      </c>
      <c r="AY6" t="s">
        <v>59</v>
      </c>
      <c r="AZ6">
        <f>IFERROR(_xlfn.MINIFS('resultados_finais - Copia (4)'!$P:$P,'resultados_finais - Copia (4)'!$E:$E,AW6,'resultados_finais - Copia (4)'!$P:$P,"&gt;=0"),"")</f>
        <v>0</v>
      </c>
      <c r="BA6" t="s">
        <v>60</v>
      </c>
      <c r="BB6" t="str">
        <f>IFERROR(AVERAGEIFS($O:$O,$E:$E,AW6,$O:$O,"&gt;=0"),"")</f>
        <v/>
      </c>
    </row>
    <row r="7" spans="1:59">
      <c r="A7" s="3" t="s">
        <v>0</v>
      </c>
      <c r="B7" s="21" t="s">
        <v>145</v>
      </c>
      <c r="C7" s="3">
        <v>0</v>
      </c>
      <c r="D7" s="3">
        <v>0</v>
      </c>
      <c r="E7" s="3">
        <v>10</v>
      </c>
      <c r="F7" s="3">
        <v>25</v>
      </c>
      <c r="G7" s="3">
        <v>27</v>
      </c>
      <c r="H7" s="3">
        <v>3</v>
      </c>
      <c r="I7" s="3">
        <v>200</v>
      </c>
      <c r="J7" s="3">
        <v>0</v>
      </c>
      <c r="K7" s="3" t="s">
        <v>1</v>
      </c>
      <c r="L7" s="3">
        <v>0.61839999999999995</v>
      </c>
      <c r="M7" s="18">
        <v>684.63710000000003</v>
      </c>
      <c r="N7" s="19">
        <v>191.81360000000001</v>
      </c>
      <c r="O7" s="19">
        <v>191.81360000000001</v>
      </c>
      <c r="P7" s="3">
        <v>0</v>
      </c>
      <c r="Q7" s="3">
        <v>1</v>
      </c>
      <c r="R7" s="20">
        <v>1</v>
      </c>
      <c r="S7" s="20">
        <v>2424</v>
      </c>
      <c r="T7" s="3" t="s">
        <v>146</v>
      </c>
      <c r="U7" s="3" t="s">
        <v>147</v>
      </c>
      <c r="V7" s="6">
        <v>46113.884965277779</v>
      </c>
      <c r="X7" s="6"/>
      <c r="Y7" t="s">
        <v>119</v>
      </c>
      <c r="Z7">
        <v>25</v>
      </c>
      <c r="AA7">
        <v>357</v>
      </c>
      <c r="AB7">
        <v>191.3</v>
      </c>
      <c r="AC7">
        <v>191.3</v>
      </c>
      <c r="AD7">
        <v>3</v>
      </c>
      <c r="AE7">
        <v>1</v>
      </c>
      <c r="AF7">
        <v>531</v>
      </c>
      <c r="AG7">
        <v>25.6</v>
      </c>
      <c r="AI7" t="s">
        <v>119</v>
      </c>
      <c r="AJ7">
        <v>25</v>
      </c>
      <c r="AL7">
        <v>191.3</v>
      </c>
      <c r="AM7">
        <v>191.3</v>
      </c>
      <c r="AN7">
        <v>3</v>
      </c>
      <c r="AO7">
        <v>1</v>
      </c>
      <c r="AP7">
        <f t="shared" si="0"/>
        <v>4.5649717514124291</v>
      </c>
      <c r="AQ7">
        <f t="shared" si="1"/>
        <v>26.74363671875</v>
      </c>
      <c r="AU7" s="6"/>
      <c r="AV7" t="s">
        <v>61</v>
      </c>
      <c r="AW7">
        <v>1</v>
      </c>
      <c r="AX7">
        <f>IFERROR(_xlfn.MAXIFS('resultados_finais - Copia (4)'!$P:$P,'resultados_finais - Copia (4)'!$E:$E,AW7,'resultados_finais - Copia (4)'!$P:$P,"&gt;=0"),"")</f>
        <v>17.725000000000001</v>
      </c>
      <c r="AY7" t="s">
        <v>59</v>
      </c>
      <c r="AZ7">
        <f>IFERROR(_xlfn.MINIFS('resultados_finais - Copia (4)'!$P:$P,'resultados_finais - Copia (4)'!$E:$E,AW7,'resultados_finais - Copia (4)'!$P:$P,"&gt;=0"),"")</f>
        <v>0</v>
      </c>
      <c r="BA7" t="s">
        <v>60</v>
      </c>
      <c r="BB7" t="str">
        <f>IFERROR(AVERAGEIFS($O:$O,$E:$E,AW7,$O:$O,"&gt;=0"),"")</f>
        <v/>
      </c>
    </row>
    <row r="8" spans="1:59">
      <c r="A8" s="3" t="s">
        <v>0</v>
      </c>
      <c r="B8" s="21" t="s">
        <v>148</v>
      </c>
      <c r="C8" s="3">
        <v>0</v>
      </c>
      <c r="D8" s="3">
        <v>0</v>
      </c>
      <c r="E8" s="3">
        <v>10</v>
      </c>
      <c r="F8" s="3">
        <v>25</v>
      </c>
      <c r="G8" s="3">
        <v>27</v>
      </c>
      <c r="H8" s="3">
        <v>3</v>
      </c>
      <c r="I8" s="3">
        <v>200</v>
      </c>
      <c r="J8" s="3">
        <v>0</v>
      </c>
      <c r="K8" s="3" t="s">
        <v>1</v>
      </c>
      <c r="L8" s="3">
        <v>0.30719999999999997</v>
      </c>
      <c r="M8" s="18">
        <v>418.15649999999999</v>
      </c>
      <c r="N8" s="19">
        <v>191.81360000000001</v>
      </c>
      <c r="O8" s="19">
        <v>191.81360000000001</v>
      </c>
      <c r="P8" s="3">
        <v>0</v>
      </c>
      <c r="Q8" s="3">
        <v>1</v>
      </c>
      <c r="R8" s="20">
        <v>1</v>
      </c>
      <c r="S8" s="20">
        <v>1686</v>
      </c>
      <c r="T8" s="3" t="s">
        <v>149</v>
      </c>
      <c r="U8" s="3" t="s">
        <v>135</v>
      </c>
      <c r="V8" s="6">
        <v>46113.889803240738</v>
      </c>
      <c r="X8" s="6"/>
      <c r="Y8" t="s">
        <v>120</v>
      </c>
      <c r="Z8">
        <v>25</v>
      </c>
      <c r="AA8">
        <v>336</v>
      </c>
      <c r="AB8">
        <v>191.3</v>
      </c>
      <c r="AC8">
        <v>191.3</v>
      </c>
      <c r="AD8">
        <v>3</v>
      </c>
      <c r="AE8">
        <v>1</v>
      </c>
      <c r="AF8">
        <v>447</v>
      </c>
      <c r="AG8">
        <v>20.7</v>
      </c>
      <c r="AI8" t="s">
        <v>120</v>
      </c>
      <c r="AJ8">
        <v>25</v>
      </c>
      <c r="AL8">
        <v>191.3</v>
      </c>
      <c r="AM8">
        <v>191.3</v>
      </c>
      <c r="AN8">
        <v>3</v>
      </c>
      <c r="AO8">
        <v>1</v>
      </c>
      <c r="AP8">
        <f t="shared" si="0"/>
        <v>3.7718120805369129</v>
      </c>
      <c r="AQ8">
        <f t="shared" si="1"/>
        <v>20.200797101449275</v>
      </c>
      <c r="AU8" s="6"/>
      <c r="AV8" t="s">
        <v>62</v>
      </c>
      <c r="AW8">
        <v>2</v>
      </c>
      <c r="AX8">
        <f>IFERROR(_xlfn.MAXIFS('resultados_finais - Copia (4)'!$P:$P,'resultados_finais - Copia (4)'!$E:$E,AW8,'resultados_finais - Copia (4)'!$P:$P,"&gt;=0"),"")</f>
        <v>4.95</v>
      </c>
      <c r="AY8" t="s">
        <v>59</v>
      </c>
      <c r="AZ8">
        <f>IFERROR(_xlfn.MINIFS('resultados_finais - Copia (4)'!$P:$P,'resultados_finais - Copia (4)'!$E:$E,AW8,'resultados_finais - Copia (4)'!$P:$P,"&gt;=0"),"")</f>
        <v>0</v>
      </c>
      <c r="BA8" t="s">
        <v>60</v>
      </c>
      <c r="BB8" t="str">
        <f>IFERROR(AVERAGEIFS($O:$O,$E:$E,AW8,$O:$O,"&gt;=0"),"")</f>
        <v/>
      </c>
    </row>
    <row r="9" spans="1:59">
      <c r="A9" s="3" t="s">
        <v>0</v>
      </c>
      <c r="B9" s="21" t="s">
        <v>150</v>
      </c>
      <c r="C9" s="3">
        <v>0</v>
      </c>
      <c r="D9" s="3">
        <v>0</v>
      </c>
      <c r="E9" s="3">
        <v>10</v>
      </c>
      <c r="F9" s="3">
        <v>25</v>
      </c>
      <c r="G9" s="3">
        <v>27</v>
      </c>
      <c r="H9" s="3">
        <v>3</v>
      </c>
      <c r="I9" s="3">
        <v>200</v>
      </c>
      <c r="J9" s="3">
        <v>0</v>
      </c>
      <c r="K9" s="3" t="s">
        <v>1</v>
      </c>
      <c r="L9" s="3">
        <v>0.61609999999999998</v>
      </c>
      <c r="M9" s="18">
        <v>340.22050000000002</v>
      </c>
      <c r="N9" s="19">
        <v>191.81360000000001</v>
      </c>
      <c r="O9" s="19">
        <v>191.81360000000001</v>
      </c>
      <c r="P9" s="3">
        <v>0</v>
      </c>
      <c r="Q9" s="3">
        <v>1</v>
      </c>
      <c r="R9" s="20">
        <v>1</v>
      </c>
      <c r="S9" s="20">
        <v>2040</v>
      </c>
      <c r="T9" s="3" t="s">
        <v>147</v>
      </c>
      <c r="U9" s="3" t="s">
        <v>135</v>
      </c>
      <c r="V9" s="6">
        <v>46113.893750000003</v>
      </c>
      <c r="X9" s="6"/>
      <c r="Y9" t="s">
        <v>121</v>
      </c>
      <c r="Z9">
        <v>25</v>
      </c>
      <c r="AA9">
        <v>377</v>
      </c>
      <c r="AB9">
        <v>191.3</v>
      </c>
      <c r="AC9">
        <v>191.3</v>
      </c>
      <c r="AD9">
        <v>3</v>
      </c>
      <c r="AE9">
        <v>1</v>
      </c>
      <c r="AF9">
        <v>514</v>
      </c>
      <c r="AG9">
        <v>31.7</v>
      </c>
      <c r="AI9" t="s">
        <v>121</v>
      </c>
      <c r="AJ9">
        <v>25</v>
      </c>
      <c r="AL9">
        <v>191.3</v>
      </c>
      <c r="AM9">
        <v>191.3</v>
      </c>
      <c r="AN9">
        <v>3</v>
      </c>
      <c r="AO9">
        <v>1</v>
      </c>
      <c r="AP9">
        <f t="shared" si="0"/>
        <v>3.9688715953307394</v>
      </c>
      <c r="AQ9">
        <f t="shared" si="1"/>
        <v>10.732507886435332</v>
      </c>
      <c r="AU9" s="6"/>
      <c r="AV9" t="s">
        <v>63</v>
      </c>
      <c r="AW9">
        <v>3</v>
      </c>
      <c r="AX9">
        <f>IFERROR(_xlfn.MAXIFS('resultados_finais - Copia (4)'!$P:$P,'resultados_finais - Copia (4)'!$E:$E,AW9,'resultados_finais - Copia (4)'!$P:$P,"&gt;=0"),"")</f>
        <v>8.4444999999999997</v>
      </c>
      <c r="AY9" t="s">
        <v>64</v>
      </c>
      <c r="AZ9">
        <f>IFERROR(_xlfn.MINIFS('resultados_finais - Copia (4)'!$P:$P,'resultados_finais - Copia (4)'!$E:$E,AW9,'resultados_finais - Copia (4)'!$P:$P,"&gt;=0"),"")</f>
        <v>0</v>
      </c>
      <c r="BA9" t="s">
        <v>60</v>
      </c>
      <c r="BB9" t="str">
        <f>IFERROR(AVERAGEIFS($O:$O,$E:$E,AW9,$O:$O,"&gt;=0"),"")</f>
        <v/>
      </c>
    </row>
    <row r="10" spans="1:59">
      <c r="A10" s="3" t="s">
        <v>0</v>
      </c>
      <c r="B10" s="21" t="s">
        <v>151</v>
      </c>
      <c r="C10" s="3">
        <v>0</v>
      </c>
      <c r="D10" s="3">
        <v>0</v>
      </c>
      <c r="E10" s="3">
        <v>10</v>
      </c>
      <c r="F10" s="3">
        <v>25</v>
      </c>
      <c r="G10" s="3">
        <v>27</v>
      </c>
      <c r="H10" s="3">
        <v>3</v>
      </c>
      <c r="I10" s="3">
        <v>200</v>
      </c>
      <c r="J10" s="3">
        <v>0</v>
      </c>
      <c r="K10" s="3" t="s">
        <v>1</v>
      </c>
      <c r="L10" s="3">
        <v>15.055099999999999</v>
      </c>
      <c r="M10" s="18">
        <v>683.34199999999998</v>
      </c>
      <c r="N10" s="19">
        <v>191.81360000000001</v>
      </c>
      <c r="O10" s="19">
        <v>191.81360000000001</v>
      </c>
      <c r="P10" s="3">
        <v>0</v>
      </c>
      <c r="Q10" s="3">
        <v>1</v>
      </c>
      <c r="R10" s="20">
        <v>1</v>
      </c>
      <c r="S10" s="20">
        <v>2415</v>
      </c>
      <c r="T10" s="3" t="s">
        <v>152</v>
      </c>
      <c r="U10" s="3" t="s">
        <v>135</v>
      </c>
      <c r="V10" s="6">
        <v>46113.901828703703</v>
      </c>
      <c r="X10" s="6"/>
      <c r="Y10" t="s">
        <v>122</v>
      </c>
      <c r="Z10">
        <v>25</v>
      </c>
      <c r="AA10">
        <v>431</v>
      </c>
      <c r="AB10">
        <v>191.3</v>
      </c>
      <c r="AC10">
        <v>191.3</v>
      </c>
      <c r="AD10">
        <v>3</v>
      </c>
      <c r="AE10">
        <v>1</v>
      </c>
      <c r="AF10">
        <v>513</v>
      </c>
      <c r="AG10">
        <v>43.1</v>
      </c>
      <c r="AI10" t="s">
        <v>122</v>
      </c>
      <c r="AJ10">
        <v>25</v>
      </c>
      <c r="AL10">
        <v>191.3</v>
      </c>
      <c r="AM10">
        <v>191.3</v>
      </c>
      <c r="AN10">
        <v>3</v>
      </c>
      <c r="AO10">
        <v>1</v>
      </c>
      <c r="AP10">
        <f t="shared" si="0"/>
        <v>4.7076023391812862</v>
      </c>
      <c r="AQ10">
        <f t="shared" si="1"/>
        <v>15.854802784222738</v>
      </c>
      <c r="AU10" s="6" t="s">
        <v>133</v>
      </c>
      <c r="AV10" t="s">
        <v>65</v>
      </c>
      <c r="AW10">
        <v>22</v>
      </c>
      <c r="AX10">
        <f>IFERROR(_xlfn.MAXIFS('resultados_finais - Copia (4)'!$P:$P,'resultados_finais - Copia (4)'!$E:$E,AW10,'resultados_finais - Copia (4)'!$P:$P,"&gt;=0"),"")</f>
        <v>25.930900000000001</v>
      </c>
      <c r="AY10" t="s">
        <v>66</v>
      </c>
      <c r="AZ10">
        <f>IFERROR(_xlfn.MINIFS('resultados_finais - Copia (4)'!$P:$P,'resultados_finais - Copia (4)'!$E:$E,AW10,'resultados_finais - Copia (4)'!$P:$P,"&gt;=0"),"")</f>
        <v>0</v>
      </c>
      <c r="BA10" t="s">
        <v>60</v>
      </c>
      <c r="BB10" t="str">
        <f>IFERROR(AVERAGEIFS($O:$O,$E:$E,AW10,$O:$O,"&gt;=0"),"")</f>
        <v/>
      </c>
    </row>
    <row r="11" spans="1:59">
      <c r="A11" s="3" t="s">
        <v>0</v>
      </c>
      <c r="B11" s="21" t="s">
        <v>153</v>
      </c>
      <c r="C11" s="3">
        <v>0</v>
      </c>
      <c r="D11" s="3">
        <v>0</v>
      </c>
      <c r="E11" s="3">
        <v>10</v>
      </c>
      <c r="F11" s="3">
        <v>25</v>
      </c>
      <c r="G11" s="3">
        <v>27</v>
      </c>
      <c r="H11" s="3">
        <v>3</v>
      </c>
      <c r="I11" s="3">
        <v>200</v>
      </c>
      <c r="J11" s="3">
        <v>0</v>
      </c>
      <c r="K11" s="3" t="s">
        <v>1</v>
      </c>
      <c r="L11" s="3">
        <v>1200.9614999999999</v>
      </c>
      <c r="M11" s="18">
        <v>905.86469999999997</v>
      </c>
      <c r="N11" s="19">
        <v>191.81360000000001</v>
      </c>
      <c r="O11" s="19">
        <v>191.81360000000001</v>
      </c>
      <c r="P11" s="3">
        <v>0</v>
      </c>
      <c r="Q11" s="3">
        <v>1</v>
      </c>
      <c r="R11" s="20">
        <v>1</v>
      </c>
      <c r="S11" s="20">
        <v>2028</v>
      </c>
      <c r="T11" s="3" t="s">
        <v>136</v>
      </c>
      <c r="U11" s="3" t="s">
        <v>146</v>
      </c>
      <c r="V11" s="6">
        <v>46113.926215277781</v>
      </c>
      <c r="X11" s="6"/>
      <c r="Y11" t="s">
        <v>123</v>
      </c>
      <c r="Z11">
        <v>25</v>
      </c>
      <c r="AA11">
        <v>482</v>
      </c>
      <c r="AB11">
        <v>189.4</v>
      </c>
      <c r="AC11">
        <v>191.3</v>
      </c>
      <c r="AD11">
        <v>3</v>
      </c>
      <c r="AE11">
        <v>3</v>
      </c>
      <c r="AF11">
        <v>1747</v>
      </c>
      <c r="AG11">
        <v>585.4</v>
      </c>
      <c r="AI11" t="s">
        <v>123</v>
      </c>
      <c r="AJ11">
        <v>25</v>
      </c>
      <c r="AL11">
        <v>189.4</v>
      </c>
      <c r="AM11">
        <v>191.3</v>
      </c>
      <c r="AN11">
        <v>3</v>
      </c>
      <c r="AO11">
        <v>3</v>
      </c>
      <c r="AP11">
        <f t="shared" si="0"/>
        <v>1.160847166571265</v>
      </c>
      <c r="AQ11">
        <f t="shared" si="1"/>
        <v>1.5474285958319098</v>
      </c>
      <c r="AU11" s="6"/>
      <c r="AV11" t="s">
        <v>67</v>
      </c>
      <c r="AW11">
        <v>10</v>
      </c>
      <c r="AX11">
        <f>IFERROR(_xlfn.MAXIFS('resultados_finais - Copia (4)'!$P:$P,'resultados_finais - Copia (4)'!$E:$E,AW11,'resultados_finais - Copia (4)'!$P:$P,"&gt;=0"),"")</f>
        <v>3.3816000000000002</v>
      </c>
      <c r="AY11" t="s">
        <v>68</v>
      </c>
      <c r="AZ11">
        <f>IFERROR(_xlfn.MINIFS('resultados_finais - Copia (4)'!$P:$P,'resultados_finais - Copia (4)'!$E:$E,AW11,'resultados_finais - Copia (4)'!$P:$P,"&gt;=0"),"")</f>
        <v>0</v>
      </c>
      <c r="BA11" t="s">
        <v>60</v>
      </c>
      <c r="BB11">
        <f>IFERROR(AVERAGEIFS($O:$O,$E:$E,AW11,$O:$O,"&gt;=0"),"")</f>
        <v>291.01204181818184</v>
      </c>
      <c r="BG11">
        <v>2</v>
      </c>
    </row>
    <row r="12" spans="1:59">
      <c r="A12" s="1" t="s">
        <v>0</v>
      </c>
      <c r="B12" t="s">
        <v>64</v>
      </c>
      <c r="C12" s="3">
        <v>0</v>
      </c>
      <c r="D12" s="3">
        <v>0</v>
      </c>
      <c r="E12" s="3">
        <v>10</v>
      </c>
      <c r="F12" s="3">
        <v>25</v>
      </c>
      <c r="G12" s="3">
        <v>27</v>
      </c>
      <c r="H12" s="3">
        <v>3</v>
      </c>
      <c r="I12" s="3">
        <v>200</v>
      </c>
      <c r="J12" s="3">
        <v>0</v>
      </c>
      <c r="K12" s="3" t="s">
        <v>1</v>
      </c>
      <c r="L12" s="5">
        <v>4.7679999999999998</v>
      </c>
      <c r="M12" s="5">
        <v>3940.9443000000001</v>
      </c>
      <c r="N12" s="5">
        <v>268.53250000000003</v>
      </c>
      <c r="O12" s="5">
        <v>268.85309999999998</v>
      </c>
      <c r="P12" s="5">
        <v>0.11940000000000001</v>
      </c>
      <c r="Q12" s="3">
        <v>0</v>
      </c>
      <c r="R12" s="3">
        <v>97</v>
      </c>
      <c r="S12" s="3">
        <v>2682</v>
      </c>
      <c r="T12" s="3" t="s">
        <v>23</v>
      </c>
      <c r="U12" s="3"/>
      <c r="V12" s="3" t="s">
        <v>24</v>
      </c>
      <c r="W12" s="6">
        <v>46115.056087962963</v>
      </c>
      <c r="X12" s="6"/>
      <c r="AU12" s="6"/>
    </row>
    <row r="13" spans="1:59" ht="15" thickBot="1">
      <c r="A13" s="1" t="s">
        <v>0</v>
      </c>
      <c r="B13" t="s">
        <v>59</v>
      </c>
      <c r="C13" s="3">
        <v>0</v>
      </c>
      <c r="D13" s="3">
        <v>0</v>
      </c>
      <c r="E13" s="3">
        <v>10</v>
      </c>
      <c r="F13" s="3">
        <v>25</v>
      </c>
      <c r="G13" s="3">
        <v>27</v>
      </c>
      <c r="H13" s="3">
        <v>3</v>
      </c>
      <c r="I13" s="3">
        <v>200</v>
      </c>
      <c r="J13" s="3">
        <v>0</v>
      </c>
      <c r="K13" s="3" t="s">
        <v>1</v>
      </c>
      <c r="L13" s="5">
        <v>200.69909999999999</v>
      </c>
      <c r="M13" s="5">
        <v>6590.9755999999998</v>
      </c>
      <c r="N13" s="5">
        <v>271.5942</v>
      </c>
      <c r="O13" s="5">
        <v>277.78840000000002</v>
      </c>
      <c r="P13" s="5">
        <v>2.2806999999999999</v>
      </c>
      <c r="Q13" s="3">
        <v>0</v>
      </c>
      <c r="R13" s="3">
        <v>2</v>
      </c>
      <c r="S13" s="3">
        <v>1593</v>
      </c>
      <c r="T13" s="3" t="s">
        <v>25</v>
      </c>
      <c r="U13" s="3"/>
      <c r="V13" s="3" t="s">
        <v>26</v>
      </c>
      <c r="W13" s="6">
        <v>46115.134699074071</v>
      </c>
      <c r="X13" s="6"/>
      <c r="Y13" t="s">
        <v>342</v>
      </c>
      <c r="AU13" s="6"/>
    </row>
    <row r="14" spans="1:59" ht="15" thickBot="1">
      <c r="A14" s="1" t="s">
        <v>0</v>
      </c>
      <c r="B14" t="s">
        <v>70</v>
      </c>
      <c r="C14" s="3">
        <v>0</v>
      </c>
      <c r="D14" s="3">
        <v>0</v>
      </c>
      <c r="E14" s="3">
        <v>10</v>
      </c>
      <c r="F14" s="3">
        <v>25</v>
      </c>
      <c r="G14" s="3">
        <v>27</v>
      </c>
      <c r="H14" s="3">
        <v>3</v>
      </c>
      <c r="I14" s="3">
        <v>200</v>
      </c>
      <c r="J14" s="3">
        <v>0</v>
      </c>
      <c r="K14" s="3" t="s">
        <v>1</v>
      </c>
      <c r="L14" s="5">
        <v>176.2201</v>
      </c>
      <c r="M14" s="5">
        <v>13985.747300000001</v>
      </c>
      <c r="N14" s="5">
        <v>276.62419999999997</v>
      </c>
      <c r="O14" s="5">
        <v>-1</v>
      </c>
      <c r="P14" s="5"/>
      <c r="Q14" s="3"/>
      <c r="R14" s="3">
        <v>0</v>
      </c>
      <c r="S14" s="3">
        <v>0</v>
      </c>
      <c r="T14" s="3" t="s">
        <v>27</v>
      </c>
      <c r="U14" s="3"/>
      <c r="V14" s="3" t="s">
        <v>28</v>
      </c>
      <c r="W14" s="6">
        <v>46115.298611111109</v>
      </c>
      <c r="X14" s="6"/>
      <c r="AU14" s="6"/>
      <c r="AX14" s="30" t="s">
        <v>69</v>
      </c>
      <c r="AY14" s="31"/>
      <c r="AZ14" s="31"/>
      <c r="BA14" s="31"/>
      <c r="BB14" s="32"/>
    </row>
    <row r="15" spans="1:59">
      <c r="A15" s="1" t="s">
        <v>0</v>
      </c>
      <c r="B15" t="s">
        <v>81</v>
      </c>
      <c r="C15" s="3">
        <v>0</v>
      </c>
      <c r="D15" s="3">
        <v>0</v>
      </c>
      <c r="E15" s="3">
        <v>10</v>
      </c>
      <c r="F15" s="3">
        <v>25</v>
      </c>
      <c r="G15" s="3">
        <v>27</v>
      </c>
      <c r="H15" s="3">
        <v>3</v>
      </c>
      <c r="I15" s="3">
        <v>200</v>
      </c>
      <c r="J15" s="3">
        <v>0</v>
      </c>
      <c r="K15" s="3" t="s">
        <v>1</v>
      </c>
      <c r="L15" s="5">
        <v>200.61240000000001</v>
      </c>
      <c r="M15" s="5">
        <v>10859.95</v>
      </c>
      <c r="N15" s="5">
        <v>278.8716</v>
      </c>
      <c r="O15" s="5">
        <v>284.46120000000002</v>
      </c>
      <c r="P15" s="5">
        <v>2.0044</v>
      </c>
      <c r="Q15" s="3">
        <v>0</v>
      </c>
      <c r="R15" s="3">
        <v>2</v>
      </c>
      <c r="S15" s="3">
        <v>2583</v>
      </c>
      <c r="T15" s="3" t="s">
        <v>29</v>
      </c>
      <c r="U15" s="3"/>
      <c r="V15" s="3" t="s">
        <v>30</v>
      </c>
      <c r="W15" s="6">
        <v>46115.426631944443</v>
      </c>
      <c r="X15" s="6"/>
      <c r="AU15" s="6"/>
      <c r="AW15" t="s">
        <v>54</v>
      </c>
      <c r="AX15" t="s">
        <v>55</v>
      </c>
      <c r="AY15" t="s">
        <v>56</v>
      </c>
      <c r="AZ15" t="s">
        <v>57</v>
      </c>
      <c r="BA15" t="s">
        <v>56</v>
      </c>
      <c r="BB15" t="s">
        <v>58</v>
      </c>
    </row>
    <row r="16" spans="1:59">
      <c r="A16" s="1" t="s">
        <v>0</v>
      </c>
      <c r="B16" t="s">
        <v>82</v>
      </c>
      <c r="C16" s="3">
        <v>0</v>
      </c>
      <c r="D16" s="3">
        <v>0</v>
      </c>
      <c r="E16" s="3">
        <v>10</v>
      </c>
      <c r="F16" s="3">
        <v>25</v>
      </c>
      <c r="G16" s="3">
        <v>27</v>
      </c>
      <c r="H16" s="3">
        <v>3</v>
      </c>
      <c r="I16" s="3">
        <v>200</v>
      </c>
      <c r="J16" s="3">
        <v>0</v>
      </c>
      <c r="K16" s="3" t="s">
        <v>1</v>
      </c>
      <c r="L16" s="3">
        <v>200.9742</v>
      </c>
      <c r="M16" s="3">
        <v>4307.8068000000003</v>
      </c>
      <c r="N16" s="3">
        <v>268.53250000000003</v>
      </c>
      <c r="O16" s="3">
        <v>280.87549999999999</v>
      </c>
      <c r="P16" s="3">
        <v>4.5964</v>
      </c>
      <c r="Q16" s="3">
        <v>0</v>
      </c>
      <c r="R16" s="3">
        <v>2</v>
      </c>
      <c r="S16" s="3">
        <v>1518</v>
      </c>
      <c r="T16" s="3" t="s">
        <v>83</v>
      </c>
      <c r="U16" s="3"/>
      <c r="V16" s="3" t="s">
        <v>84</v>
      </c>
      <c r="W16" s="6">
        <v>46115.478819444441</v>
      </c>
      <c r="X16" s="6"/>
      <c r="Y16" s="33" t="s">
        <v>154</v>
      </c>
      <c r="Z16" s="33"/>
      <c r="AA16" s="33"/>
      <c r="AB16" s="33"/>
      <c r="AC16" s="33"/>
      <c r="AD16" s="33"/>
      <c r="AE16" s="33"/>
      <c r="AF16" s="33"/>
      <c r="AG16" s="33"/>
      <c r="AI16" s="33" t="s">
        <v>346</v>
      </c>
      <c r="AJ16" s="33"/>
      <c r="AK16" s="33"/>
      <c r="AL16" s="33"/>
      <c r="AM16" s="33"/>
      <c r="AN16" s="33"/>
      <c r="AO16" s="33"/>
      <c r="AP16" s="33"/>
      <c r="AQ16" s="33"/>
      <c r="AU16" s="6"/>
      <c r="AW16">
        <v>0</v>
      </c>
      <c r="AX16">
        <v>3999.3000999999999</v>
      </c>
      <c r="AY16" t="s">
        <v>59</v>
      </c>
      <c r="AZ16">
        <v>67.948899999999995</v>
      </c>
      <c r="BB16">
        <v>1577.3655799999999</v>
      </c>
    </row>
    <row r="17" spans="1:54">
      <c r="A17" s="1" t="s">
        <v>0</v>
      </c>
      <c r="B17" t="s">
        <v>85</v>
      </c>
      <c r="C17" s="3">
        <v>0</v>
      </c>
      <c r="D17" s="3">
        <v>0</v>
      </c>
      <c r="E17" s="3">
        <v>10</v>
      </c>
      <c r="F17" s="3">
        <v>25</v>
      </c>
      <c r="G17" s="3">
        <v>27</v>
      </c>
      <c r="H17" s="3">
        <v>3</v>
      </c>
      <c r="I17" s="3">
        <v>200</v>
      </c>
      <c r="J17" s="3">
        <v>0</v>
      </c>
      <c r="K17" s="3" t="s">
        <v>1</v>
      </c>
      <c r="L17" s="3">
        <v>200.94540000000001</v>
      </c>
      <c r="M17" s="3">
        <v>3717.1342</v>
      </c>
      <c r="N17" s="3">
        <v>266.56959999999998</v>
      </c>
      <c r="O17" s="3">
        <v>278.49029999999999</v>
      </c>
      <c r="P17" s="3">
        <v>4.4718999999999998</v>
      </c>
      <c r="Q17" s="3">
        <v>0</v>
      </c>
      <c r="R17" s="3">
        <v>30</v>
      </c>
      <c r="S17" s="3">
        <v>1662</v>
      </c>
      <c r="T17" s="3" t="s">
        <v>86</v>
      </c>
      <c r="U17" s="3"/>
      <c r="V17" s="3" t="s">
        <v>87</v>
      </c>
      <c r="W17" s="6">
        <v>46115.52416666667</v>
      </c>
      <c r="X17" s="6"/>
      <c r="Y17" t="s">
        <v>94</v>
      </c>
      <c r="Z17" t="s">
        <v>95</v>
      </c>
      <c r="AA17" t="s">
        <v>96</v>
      </c>
      <c r="AB17" t="s">
        <v>97</v>
      </c>
      <c r="AC17" t="s">
        <v>98</v>
      </c>
      <c r="AD17" t="s">
        <v>99</v>
      </c>
      <c r="AE17" t="s">
        <v>100</v>
      </c>
      <c r="AF17" t="s">
        <v>101</v>
      </c>
      <c r="AG17" t="s">
        <v>102</v>
      </c>
      <c r="AI17" t="s">
        <v>94</v>
      </c>
      <c r="AJ17" t="s">
        <v>95</v>
      </c>
      <c r="AK17" t="s">
        <v>96</v>
      </c>
      <c r="AL17" t="s">
        <v>97</v>
      </c>
      <c r="AM17" t="s">
        <v>98</v>
      </c>
      <c r="AN17" t="s">
        <v>99</v>
      </c>
      <c r="AO17" t="s">
        <v>100</v>
      </c>
      <c r="AP17" t="s">
        <v>101</v>
      </c>
      <c r="AQ17" t="s">
        <v>102</v>
      </c>
      <c r="AU17" s="6"/>
      <c r="AW17">
        <v>1</v>
      </c>
      <c r="AX17">
        <v>3786.1477</v>
      </c>
      <c r="AY17" t="s">
        <v>70</v>
      </c>
      <c r="AZ17">
        <v>20.212499999999999</v>
      </c>
      <c r="BB17">
        <v>1251.4237000000001</v>
      </c>
    </row>
    <row r="18" spans="1:54">
      <c r="A18" s="1" t="s">
        <v>0</v>
      </c>
      <c r="B18" t="s">
        <v>88</v>
      </c>
      <c r="C18" s="3">
        <v>0</v>
      </c>
      <c r="D18" s="3">
        <v>0</v>
      </c>
      <c r="E18" s="3">
        <v>10</v>
      </c>
      <c r="F18" s="3">
        <v>25</v>
      </c>
      <c r="G18" s="3">
        <v>27</v>
      </c>
      <c r="H18" s="3">
        <v>3</v>
      </c>
      <c r="I18" s="3">
        <v>200</v>
      </c>
      <c r="J18" s="3">
        <v>0</v>
      </c>
      <c r="K18" s="3" t="s">
        <v>1</v>
      </c>
      <c r="L18" s="3">
        <v>200.61359999999999</v>
      </c>
      <c r="M18" s="3">
        <v>3630.654</v>
      </c>
      <c r="N18" s="3">
        <v>264.63189999999997</v>
      </c>
      <c r="O18" s="3">
        <v>274.4477</v>
      </c>
      <c r="P18" s="3">
        <v>3.7092999999999998</v>
      </c>
      <c r="Q18" s="3">
        <v>0</v>
      </c>
      <c r="R18" s="3">
        <v>176</v>
      </c>
      <c r="S18" s="3">
        <v>2382</v>
      </c>
      <c r="T18" s="3" t="s">
        <v>89</v>
      </c>
      <c r="U18" s="3"/>
      <c r="V18" s="3" t="s">
        <v>90</v>
      </c>
      <c r="W18" s="6">
        <v>46115.568506944444</v>
      </c>
      <c r="X18" s="6"/>
      <c r="Y18" t="s">
        <v>115</v>
      </c>
      <c r="Z18">
        <v>25</v>
      </c>
      <c r="AA18">
        <v>332</v>
      </c>
      <c r="AB18">
        <v>191.3</v>
      </c>
      <c r="AC18">
        <v>191.3</v>
      </c>
      <c r="AD18">
        <v>3</v>
      </c>
      <c r="AE18">
        <v>1</v>
      </c>
      <c r="AF18">
        <v>498</v>
      </c>
      <c r="AG18">
        <v>18.600000000000001</v>
      </c>
      <c r="AI18" t="s">
        <v>115</v>
      </c>
      <c r="AJ18">
        <v>25</v>
      </c>
      <c r="AL18">
        <v>191.3</v>
      </c>
      <c r="AM18">
        <v>191.3</v>
      </c>
      <c r="AN18">
        <v>3</v>
      </c>
      <c r="AO18">
        <v>1</v>
      </c>
      <c r="AP18">
        <f>S57/AF18</f>
        <v>2.5783132530120483</v>
      </c>
      <c r="AQ18">
        <f>M57/AG18</f>
        <v>12.595618279569893</v>
      </c>
      <c r="AU18" s="6"/>
      <c r="AW18">
        <v>2</v>
      </c>
      <c r="AX18">
        <v>4212.7161999999998</v>
      </c>
      <c r="AY18" t="s">
        <v>70</v>
      </c>
      <c r="AZ18">
        <v>23.310600000000001</v>
      </c>
      <c r="BB18">
        <v>1214.44336</v>
      </c>
    </row>
    <row r="19" spans="1:54" ht="15" thickBot="1">
      <c r="A19" s="1" t="s">
        <v>0</v>
      </c>
      <c r="B19" t="s">
        <v>91</v>
      </c>
      <c r="C19" s="3">
        <v>0</v>
      </c>
      <c r="D19" s="3">
        <v>0</v>
      </c>
      <c r="E19" s="3">
        <v>10</v>
      </c>
      <c r="F19" s="3">
        <v>25</v>
      </c>
      <c r="G19" s="3">
        <v>27</v>
      </c>
      <c r="H19" s="3">
        <v>3</v>
      </c>
      <c r="I19" s="3">
        <v>200</v>
      </c>
      <c r="J19" s="3">
        <v>0</v>
      </c>
      <c r="K19" s="3" t="s">
        <v>1</v>
      </c>
      <c r="L19" s="3">
        <v>200.63990000000001</v>
      </c>
      <c r="M19" s="3">
        <v>3607.9214000000002</v>
      </c>
      <c r="N19" s="3">
        <v>265.80970000000002</v>
      </c>
      <c r="O19" s="3">
        <v>273.08390000000003</v>
      </c>
      <c r="P19" s="3">
        <v>2.7366000000000001</v>
      </c>
      <c r="Q19" s="3">
        <v>0</v>
      </c>
      <c r="R19" s="3">
        <v>58</v>
      </c>
      <c r="S19" s="3">
        <v>3141</v>
      </c>
      <c r="T19" s="3" t="s">
        <v>92</v>
      </c>
      <c r="U19" s="3"/>
      <c r="V19" s="3" t="s">
        <v>93</v>
      </c>
      <c r="W19" s="6">
        <v>46115.612581018519</v>
      </c>
      <c r="X19" s="6"/>
      <c r="Y19" t="s">
        <v>116</v>
      </c>
      <c r="Z19">
        <v>25</v>
      </c>
      <c r="AA19">
        <v>473</v>
      </c>
      <c r="AB19">
        <v>190.3</v>
      </c>
      <c r="AC19">
        <v>190.3</v>
      </c>
      <c r="AD19">
        <v>3</v>
      </c>
      <c r="AE19">
        <v>1</v>
      </c>
      <c r="AF19">
        <v>534</v>
      </c>
      <c r="AG19">
        <v>79.7</v>
      </c>
      <c r="AI19" t="s">
        <v>116</v>
      </c>
      <c r="AJ19">
        <v>25</v>
      </c>
      <c r="AL19">
        <v>190.3</v>
      </c>
      <c r="AM19">
        <v>190.3</v>
      </c>
      <c r="AN19">
        <v>3</v>
      </c>
      <c r="AO19">
        <v>1</v>
      </c>
      <c r="AP19">
        <f t="shared" ref="AP19:AP26" si="2">S58/AF19</f>
        <v>4.797752808988764</v>
      </c>
      <c r="AQ19">
        <f t="shared" ref="AQ19:AQ26" si="3">M58/AG19</f>
        <v>8.6300000000000008</v>
      </c>
      <c r="AU19" s="6"/>
      <c r="AW19">
        <v>3</v>
      </c>
      <c r="AX19">
        <v>3633.8024999999998</v>
      </c>
      <c r="AY19" t="s">
        <v>59</v>
      </c>
      <c r="AZ19">
        <v>2.2683</v>
      </c>
      <c r="BB19">
        <v>814.73283330000004</v>
      </c>
    </row>
    <row r="20" spans="1:54">
      <c r="A20" s="1" t="s">
        <v>0</v>
      </c>
      <c r="B20" t="s">
        <v>60</v>
      </c>
      <c r="C20" s="3">
        <v>0</v>
      </c>
      <c r="D20" s="3">
        <v>0</v>
      </c>
      <c r="E20" s="3">
        <v>10</v>
      </c>
      <c r="F20" s="3">
        <v>25</v>
      </c>
      <c r="G20" s="3">
        <v>27</v>
      </c>
      <c r="H20" s="3">
        <v>8</v>
      </c>
      <c r="I20" s="3">
        <v>200</v>
      </c>
      <c r="J20" s="3">
        <v>0</v>
      </c>
      <c r="K20" s="3" t="s">
        <v>1</v>
      </c>
      <c r="L20" s="5">
        <v>0.74009999999999998</v>
      </c>
      <c r="M20" s="5">
        <v>83.838300000000004</v>
      </c>
      <c r="N20" s="5">
        <v>618.32989999999995</v>
      </c>
      <c r="O20" s="49">
        <v>618.32989999999995</v>
      </c>
      <c r="P20" s="5">
        <v>0</v>
      </c>
      <c r="Q20" s="3">
        <v>1</v>
      </c>
      <c r="R20" s="3">
        <v>3</v>
      </c>
      <c r="S20" s="3">
        <v>1288</v>
      </c>
      <c r="T20" s="3" t="s">
        <v>2</v>
      </c>
      <c r="U20" s="3"/>
      <c r="V20" s="3" t="s">
        <v>3</v>
      </c>
      <c r="W20" s="6">
        <v>46114.686435185184</v>
      </c>
      <c r="X20" s="6"/>
      <c r="Y20" t="s">
        <v>117</v>
      </c>
      <c r="Z20">
        <v>25</v>
      </c>
      <c r="AA20">
        <v>569</v>
      </c>
      <c r="AB20">
        <v>190.3</v>
      </c>
      <c r="AC20">
        <v>190.3</v>
      </c>
      <c r="AD20">
        <v>3</v>
      </c>
      <c r="AE20">
        <v>1</v>
      </c>
      <c r="AF20">
        <v>447</v>
      </c>
      <c r="AG20">
        <v>134.69999999999999</v>
      </c>
      <c r="AI20" t="s">
        <v>117</v>
      </c>
      <c r="AJ20">
        <v>25</v>
      </c>
      <c r="AL20">
        <v>190.3</v>
      </c>
      <c r="AM20">
        <v>190.3</v>
      </c>
      <c r="AN20">
        <v>3</v>
      </c>
      <c r="AO20">
        <v>1</v>
      </c>
      <c r="AP20">
        <f t="shared" si="2"/>
        <v>5.7046979865771812</v>
      </c>
      <c r="AQ20">
        <f t="shared" si="3"/>
        <v>24.444556792873051</v>
      </c>
      <c r="AU20" s="6"/>
      <c r="AW20">
        <v>22</v>
      </c>
      <c r="AX20">
        <v>4554.6504999999997</v>
      </c>
      <c r="AY20" t="s">
        <v>70</v>
      </c>
      <c r="AZ20">
        <v>99.904700000000005</v>
      </c>
      <c r="BB20">
        <v>2195.5316069999999</v>
      </c>
    </row>
    <row r="21" spans="1:54">
      <c r="A21" s="1" t="s">
        <v>0</v>
      </c>
      <c r="B21" t="s">
        <v>66</v>
      </c>
      <c r="C21" s="3">
        <v>0</v>
      </c>
      <c r="D21" s="3">
        <v>0</v>
      </c>
      <c r="E21" s="3">
        <v>10</v>
      </c>
      <c r="F21" s="3">
        <v>25</v>
      </c>
      <c r="G21" s="3">
        <v>27</v>
      </c>
      <c r="H21" s="3">
        <v>7</v>
      </c>
      <c r="I21" s="3">
        <v>200</v>
      </c>
      <c r="J21" s="3">
        <v>0</v>
      </c>
      <c r="K21" s="3" t="s">
        <v>1</v>
      </c>
      <c r="L21" s="5">
        <v>200.52350000000001</v>
      </c>
      <c r="M21" s="5">
        <v>3688.5971</v>
      </c>
      <c r="N21" s="5">
        <v>548.1078</v>
      </c>
      <c r="O21" s="50">
        <v>548.1078</v>
      </c>
      <c r="P21" s="5">
        <v>0</v>
      </c>
      <c r="Q21" s="3">
        <v>1</v>
      </c>
      <c r="R21" s="3">
        <v>272</v>
      </c>
      <c r="S21" s="3">
        <v>2170</v>
      </c>
      <c r="T21" s="3" t="s">
        <v>4</v>
      </c>
      <c r="U21" s="3"/>
      <c r="V21" s="3" t="s">
        <v>5</v>
      </c>
      <c r="W21" s="6">
        <v>46114.731446759259</v>
      </c>
      <c r="X21" s="6"/>
      <c r="Y21" s="6" t="s">
        <v>118</v>
      </c>
      <c r="Z21">
        <v>25</v>
      </c>
      <c r="AA21">
        <v>604</v>
      </c>
      <c r="AB21">
        <v>186.9</v>
      </c>
      <c r="AC21">
        <v>186.9</v>
      </c>
      <c r="AD21">
        <v>3</v>
      </c>
      <c r="AE21">
        <v>1</v>
      </c>
      <c r="AF21">
        <v>485</v>
      </c>
      <c r="AG21">
        <v>223.9</v>
      </c>
      <c r="AI21" t="s">
        <v>118</v>
      </c>
      <c r="AJ21">
        <v>25</v>
      </c>
      <c r="AL21">
        <v>186.9</v>
      </c>
      <c r="AM21">
        <v>186.9</v>
      </c>
      <c r="AN21">
        <v>3</v>
      </c>
      <c r="AO21">
        <v>1</v>
      </c>
      <c r="AP21">
        <f t="shared" si="2"/>
        <v>5.2268041237113403</v>
      </c>
      <c r="AQ21">
        <f t="shared" si="3"/>
        <v>4.8335176418043773</v>
      </c>
      <c r="AU21" s="6"/>
      <c r="AW21">
        <v>10</v>
      </c>
      <c r="AX21">
        <v>3346.43</v>
      </c>
      <c r="AY21" t="s">
        <v>71</v>
      </c>
      <c r="AZ21">
        <v>25.3171</v>
      </c>
      <c r="BB21">
        <v>545.35545709999997</v>
      </c>
    </row>
    <row r="22" spans="1:54">
      <c r="A22" s="1" t="s">
        <v>0</v>
      </c>
      <c r="B22" s="4" t="s">
        <v>72</v>
      </c>
      <c r="C22" s="7">
        <v>0</v>
      </c>
      <c r="D22" s="7">
        <v>0</v>
      </c>
      <c r="E22" s="7">
        <v>10</v>
      </c>
      <c r="F22" s="7">
        <v>25</v>
      </c>
      <c r="G22" s="7">
        <v>27</v>
      </c>
      <c r="H22" s="7">
        <v>5</v>
      </c>
      <c r="I22" s="7">
        <v>200</v>
      </c>
      <c r="J22" s="7">
        <v>0</v>
      </c>
      <c r="K22" s="7" t="s">
        <v>1</v>
      </c>
      <c r="L22" s="8">
        <v>201.48410000000001</v>
      </c>
      <c r="M22" s="8">
        <v>1528.8381999999999</v>
      </c>
      <c r="N22" s="8">
        <v>490.97340000000003</v>
      </c>
      <c r="O22" s="51">
        <v>455.69819999999999</v>
      </c>
      <c r="P22" s="8">
        <v>-7.1847000000000003</v>
      </c>
      <c r="Q22" s="7">
        <v>0</v>
      </c>
      <c r="R22" s="7">
        <v>1</v>
      </c>
      <c r="S22" s="7">
        <v>1965</v>
      </c>
      <c r="T22" s="7" t="s">
        <v>6</v>
      </c>
      <c r="U22" s="7"/>
      <c r="V22" s="7" t="s">
        <v>7</v>
      </c>
      <c r="W22" s="9">
        <v>46114.751469907409</v>
      </c>
      <c r="X22" s="6"/>
      <c r="Y22" s="6" t="s">
        <v>119</v>
      </c>
      <c r="Z22">
        <v>25</v>
      </c>
      <c r="AA22">
        <v>357</v>
      </c>
      <c r="AB22">
        <v>191.3</v>
      </c>
      <c r="AC22">
        <v>191.3</v>
      </c>
      <c r="AD22">
        <v>3</v>
      </c>
      <c r="AE22">
        <v>1</v>
      </c>
      <c r="AF22">
        <v>531</v>
      </c>
      <c r="AG22">
        <v>25.6</v>
      </c>
      <c r="AI22" t="s">
        <v>119</v>
      </c>
      <c r="AJ22">
        <v>25</v>
      </c>
      <c r="AL22">
        <v>191.3</v>
      </c>
      <c r="AM22">
        <v>191.3</v>
      </c>
      <c r="AN22">
        <v>3</v>
      </c>
      <c r="AO22">
        <v>1</v>
      </c>
      <c r="AP22">
        <f t="shared" si="2"/>
        <v>4.4350282485875709</v>
      </c>
      <c r="AQ22">
        <f t="shared" si="3"/>
        <v>29.717804687499999</v>
      </c>
    </row>
    <row r="23" spans="1:54">
      <c r="A23" s="1" t="s">
        <v>0</v>
      </c>
      <c r="B23" t="s">
        <v>73</v>
      </c>
      <c r="C23" s="3">
        <v>0</v>
      </c>
      <c r="D23" s="3">
        <v>0</v>
      </c>
      <c r="E23" s="3">
        <v>10</v>
      </c>
      <c r="F23" s="3">
        <v>25</v>
      </c>
      <c r="G23" s="3">
        <v>27</v>
      </c>
      <c r="H23" s="3">
        <v>4</v>
      </c>
      <c r="I23" s="3">
        <v>200</v>
      </c>
      <c r="J23" s="3">
        <v>0</v>
      </c>
      <c r="K23" s="3" t="s">
        <v>1</v>
      </c>
      <c r="L23" s="5">
        <v>200.8732</v>
      </c>
      <c r="M23" s="5">
        <v>848.95150000000001</v>
      </c>
      <c r="N23" s="5">
        <v>-1</v>
      </c>
      <c r="O23" s="50">
        <v>417.96120000000002</v>
      </c>
      <c r="P23" s="5"/>
      <c r="Q23" s="3"/>
      <c r="R23" s="3">
        <v>1</v>
      </c>
      <c r="S23" s="3">
        <v>1848</v>
      </c>
      <c r="T23" s="3" t="s">
        <v>8</v>
      </c>
      <c r="U23" s="3"/>
      <c r="V23" s="3" t="s">
        <v>9</v>
      </c>
      <c r="W23" s="6">
        <v>46114.763622685183</v>
      </c>
      <c r="Y23" t="s">
        <v>120</v>
      </c>
      <c r="Z23">
        <v>25</v>
      </c>
      <c r="AA23">
        <v>336</v>
      </c>
      <c r="AB23">
        <v>191.3</v>
      </c>
      <c r="AC23">
        <v>191.3</v>
      </c>
      <c r="AD23">
        <v>3</v>
      </c>
      <c r="AE23">
        <v>1</v>
      </c>
      <c r="AF23">
        <v>447</v>
      </c>
      <c r="AG23">
        <v>20.7</v>
      </c>
      <c r="AI23" t="s">
        <v>120</v>
      </c>
      <c r="AJ23">
        <v>25</v>
      </c>
      <c r="AL23">
        <v>191.3</v>
      </c>
      <c r="AM23">
        <v>191.3</v>
      </c>
      <c r="AN23">
        <v>3</v>
      </c>
      <c r="AO23">
        <v>1</v>
      </c>
      <c r="AP23">
        <f t="shared" si="2"/>
        <v>2.7651006711409396</v>
      </c>
      <c r="AQ23">
        <f t="shared" si="3"/>
        <v>8.7605555555555554</v>
      </c>
    </row>
    <row r="24" spans="1:54">
      <c r="A24" s="1" t="s">
        <v>0</v>
      </c>
      <c r="B24" t="s">
        <v>74</v>
      </c>
      <c r="C24" s="3">
        <v>0</v>
      </c>
      <c r="D24" s="3">
        <v>0</v>
      </c>
      <c r="E24" s="3">
        <v>10</v>
      </c>
      <c r="F24" s="3">
        <v>25</v>
      </c>
      <c r="G24" s="3">
        <v>27</v>
      </c>
      <c r="H24" s="3">
        <v>6</v>
      </c>
      <c r="I24" s="3">
        <v>200</v>
      </c>
      <c r="J24" s="3">
        <v>0</v>
      </c>
      <c r="K24" s="3" t="s">
        <v>1</v>
      </c>
      <c r="L24" s="5">
        <v>26.0318</v>
      </c>
      <c r="M24" s="5">
        <v>267.18189999999998</v>
      </c>
      <c r="N24" s="5">
        <v>531.53859999999997</v>
      </c>
      <c r="O24" s="50">
        <v>531.53859999999997</v>
      </c>
      <c r="P24" s="5">
        <v>0</v>
      </c>
      <c r="Q24" s="3">
        <v>1</v>
      </c>
      <c r="R24" s="3">
        <v>1</v>
      </c>
      <c r="S24" s="3">
        <v>1404</v>
      </c>
      <c r="T24" s="3" t="s">
        <v>10</v>
      </c>
      <c r="U24" s="3"/>
      <c r="V24" s="3" t="s">
        <v>11</v>
      </c>
      <c r="W24" s="6">
        <v>46114.767013888886</v>
      </c>
      <c r="Y24" t="s">
        <v>121</v>
      </c>
      <c r="Z24">
        <v>25</v>
      </c>
      <c r="AA24">
        <v>377</v>
      </c>
      <c r="AB24">
        <v>191.3</v>
      </c>
      <c r="AC24">
        <v>191.3</v>
      </c>
      <c r="AD24">
        <v>3</v>
      </c>
      <c r="AE24">
        <v>1</v>
      </c>
      <c r="AF24">
        <v>514</v>
      </c>
      <c r="AG24">
        <v>31.7</v>
      </c>
      <c r="AI24" t="s">
        <v>121</v>
      </c>
      <c r="AJ24">
        <v>25</v>
      </c>
      <c r="AL24">
        <v>191.3</v>
      </c>
      <c r="AM24">
        <v>191.3</v>
      </c>
      <c r="AN24">
        <v>3</v>
      </c>
      <c r="AO24">
        <v>1</v>
      </c>
      <c r="AP24">
        <f t="shared" si="2"/>
        <v>5.6848249027237356</v>
      </c>
      <c r="AQ24">
        <f t="shared" si="3"/>
        <v>34.919059936908518</v>
      </c>
    </row>
    <row r="25" spans="1:54" ht="15" thickBot="1">
      <c r="A25" s="1" t="s">
        <v>0</v>
      </c>
      <c r="B25" t="s">
        <v>75</v>
      </c>
      <c r="C25" s="3">
        <v>0</v>
      </c>
      <c r="D25" s="3">
        <v>0</v>
      </c>
      <c r="E25" s="3">
        <v>10</v>
      </c>
      <c r="F25" s="3">
        <v>25</v>
      </c>
      <c r="G25" s="3">
        <v>27</v>
      </c>
      <c r="H25" s="3">
        <v>5</v>
      </c>
      <c r="I25" s="3">
        <v>200</v>
      </c>
      <c r="J25" s="3">
        <v>0</v>
      </c>
      <c r="K25" s="3" t="s">
        <v>1</v>
      </c>
      <c r="L25" s="5">
        <v>201.28620000000001</v>
      </c>
      <c r="M25" s="5">
        <v>3642.4569000000001</v>
      </c>
      <c r="N25" s="5">
        <v>466.48020000000002</v>
      </c>
      <c r="O25" s="50">
        <v>466.48020000000002</v>
      </c>
      <c r="P25" s="5">
        <v>0</v>
      </c>
      <c r="Q25" s="3">
        <v>1</v>
      </c>
      <c r="R25" s="3">
        <v>151</v>
      </c>
      <c r="S25" s="3">
        <v>2525</v>
      </c>
      <c r="T25" s="3" t="s">
        <v>12</v>
      </c>
      <c r="U25" s="3"/>
      <c r="V25" s="3" t="s">
        <v>13</v>
      </c>
      <c r="W25" s="6">
        <v>46114.81150462963</v>
      </c>
      <c r="Y25" t="s">
        <v>122</v>
      </c>
      <c r="Z25">
        <v>25</v>
      </c>
      <c r="AA25">
        <v>431</v>
      </c>
      <c r="AB25">
        <v>191.3</v>
      </c>
      <c r="AC25">
        <v>191.3</v>
      </c>
      <c r="AD25">
        <v>3</v>
      </c>
      <c r="AE25">
        <v>1</v>
      </c>
      <c r="AF25">
        <v>513</v>
      </c>
      <c r="AG25">
        <v>43.1</v>
      </c>
      <c r="AI25" t="s">
        <v>122</v>
      </c>
      <c r="AJ25">
        <v>25</v>
      </c>
      <c r="AL25">
        <v>191.3</v>
      </c>
      <c r="AM25">
        <v>191.3</v>
      </c>
      <c r="AN25">
        <v>3</v>
      </c>
      <c r="AO25">
        <v>1</v>
      </c>
      <c r="AP25">
        <f t="shared" si="2"/>
        <v>5.2982456140350873</v>
      </c>
      <c r="AQ25">
        <f t="shared" si="3"/>
        <v>22.461522041763338</v>
      </c>
      <c r="AV25" t="s">
        <v>343</v>
      </c>
    </row>
    <row r="26" spans="1:54" ht="15" thickBot="1">
      <c r="A26" s="1" t="s">
        <v>0</v>
      </c>
      <c r="B26" t="s">
        <v>76</v>
      </c>
      <c r="C26" s="3">
        <v>0</v>
      </c>
      <c r="D26" s="3">
        <v>0</v>
      </c>
      <c r="E26" s="3">
        <v>10</v>
      </c>
      <c r="F26" s="3">
        <v>25</v>
      </c>
      <c r="G26" s="3">
        <v>27</v>
      </c>
      <c r="H26" s="3">
        <v>4</v>
      </c>
      <c r="I26" s="3">
        <v>200</v>
      </c>
      <c r="J26" s="3">
        <v>0</v>
      </c>
      <c r="K26" s="3" t="s">
        <v>1</v>
      </c>
      <c r="L26" s="5">
        <v>200.80629999999999</v>
      </c>
      <c r="M26" s="5">
        <v>1103.3267000000001</v>
      </c>
      <c r="N26" s="5">
        <v>-1</v>
      </c>
      <c r="O26" s="50">
        <v>425.26850000000002</v>
      </c>
      <c r="P26" s="5"/>
      <c r="Q26" s="3"/>
      <c r="R26" s="3">
        <v>1</v>
      </c>
      <c r="S26" s="3">
        <v>1860</v>
      </c>
      <c r="T26" s="3" t="s">
        <v>8</v>
      </c>
      <c r="U26" s="3"/>
      <c r="V26" s="3" t="s">
        <v>14</v>
      </c>
      <c r="W26" s="6">
        <v>46114.826597222222</v>
      </c>
      <c r="Y26" t="s">
        <v>123</v>
      </c>
      <c r="Z26">
        <v>25</v>
      </c>
      <c r="AA26">
        <v>482</v>
      </c>
      <c r="AB26">
        <v>189.4</v>
      </c>
      <c r="AC26">
        <v>191.3</v>
      </c>
      <c r="AD26">
        <v>3</v>
      </c>
      <c r="AE26">
        <v>3</v>
      </c>
      <c r="AF26">
        <v>1747</v>
      </c>
      <c r="AG26">
        <v>585.4</v>
      </c>
      <c r="AI26" t="s">
        <v>123</v>
      </c>
      <c r="AJ26">
        <v>25</v>
      </c>
      <c r="AL26">
        <v>189.4</v>
      </c>
      <c r="AM26">
        <v>191.3</v>
      </c>
      <c r="AN26">
        <v>3</v>
      </c>
      <c r="AO26">
        <v>3</v>
      </c>
      <c r="AP26">
        <f t="shared" si="2"/>
        <v>0.86891814539210077</v>
      </c>
      <c r="AQ26">
        <f t="shared" si="3"/>
        <v>1.2073993850358729</v>
      </c>
      <c r="AT26" s="6"/>
      <c r="AW26" s="30" t="s">
        <v>53</v>
      </c>
      <c r="AX26" s="31"/>
      <c r="AY26" s="31"/>
      <c r="AZ26" s="31"/>
      <c r="BA26" s="32"/>
    </row>
    <row r="27" spans="1:54">
      <c r="A27" s="1" t="s">
        <v>0</v>
      </c>
      <c r="B27" t="s">
        <v>77</v>
      </c>
      <c r="C27" s="3">
        <v>0</v>
      </c>
      <c r="D27" s="3">
        <v>0</v>
      </c>
      <c r="E27" s="3">
        <v>10</v>
      </c>
      <c r="F27" s="3">
        <v>25</v>
      </c>
      <c r="G27" s="3">
        <v>27</v>
      </c>
      <c r="H27" s="3">
        <v>4</v>
      </c>
      <c r="I27" s="3">
        <v>200</v>
      </c>
      <c r="J27" s="3">
        <v>0</v>
      </c>
      <c r="K27" s="3" t="s">
        <v>1</v>
      </c>
      <c r="L27" s="5">
        <v>201.01589999999999</v>
      </c>
      <c r="M27" s="5">
        <v>3735.8645999999999</v>
      </c>
      <c r="N27" s="5">
        <v>467.17239999999998</v>
      </c>
      <c r="O27" s="50">
        <v>398.29469999999998</v>
      </c>
      <c r="P27" s="5">
        <v>-14.743499999999999</v>
      </c>
      <c r="Q27" s="3">
        <v>0</v>
      </c>
      <c r="R27" s="3">
        <v>5</v>
      </c>
      <c r="S27" s="3">
        <v>1952</v>
      </c>
      <c r="T27" s="3" t="s">
        <v>15</v>
      </c>
      <c r="U27" s="3"/>
      <c r="V27" s="3" t="s">
        <v>16</v>
      </c>
      <c r="W27" s="6">
        <v>46114.872164351851</v>
      </c>
      <c r="AV27" t="s">
        <v>54</v>
      </c>
      <c r="AW27" t="s">
        <v>55</v>
      </c>
      <c r="AX27" t="s">
        <v>56</v>
      </c>
      <c r="AY27" t="s">
        <v>57</v>
      </c>
      <c r="AZ27" t="s">
        <v>56</v>
      </c>
      <c r="BA27" t="s">
        <v>58</v>
      </c>
    </row>
    <row r="28" spans="1:54">
      <c r="A28" s="1" t="s">
        <v>0</v>
      </c>
      <c r="B28" t="s">
        <v>78</v>
      </c>
      <c r="C28" s="3">
        <v>0</v>
      </c>
      <c r="D28" s="3">
        <v>0</v>
      </c>
      <c r="E28" s="3">
        <v>10</v>
      </c>
      <c r="F28" s="3">
        <v>25</v>
      </c>
      <c r="G28" s="3">
        <v>27</v>
      </c>
      <c r="H28" s="3">
        <v>5</v>
      </c>
      <c r="I28" s="3">
        <v>200</v>
      </c>
      <c r="J28" s="3">
        <v>0</v>
      </c>
      <c r="K28" s="3" t="s">
        <v>1</v>
      </c>
      <c r="L28" s="5">
        <v>111.6148</v>
      </c>
      <c r="M28" s="5">
        <v>792.71079999999995</v>
      </c>
      <c r="N28" s="5">
        <v>442.62520000000001</v>
      </c>
      <c r="O28" s="50">
        <v>442.62520000000001</v>
      </c>
      <c r="P28" s="5">
        <v>0</v>
      </c>
      <c r="Q28" s="3">
        <v>1</v>
      </c>
      <c r="R28" s="3">
        <v>1</v>
      </c>
      <c r="S28" s="3">
        <v>2085</v>
      </c>
      <c r="T28" s="3" t="s">
        <v>17</v>
      </c>
      <c r="U28" s="3"/>
      <c r="V28" s="3" t="s">
        <v>18</v>
      </c>
      <c r="W28" s="6">
        <v>46114.882627314815</v>
      </c>
      <c r="Y28" t="s">
        <v>342</v>
      </c>
      <c r="AT28" s="6"/>
      <c r="AV28">
        <v>0</v>
      </c>
      <c r="AW28">
        <f>IFERROR(_xlfn.MAXIFS($P$57:$P$76,$E$57:$E$76,AV28),"")</f>
        <v>0</v>
      </c>
      <c r="AX28" t="s">
        <v>59</v>
      </c>
      <c r="AY28">
        <f>IFERROR(_xlfn.MINIFS('resultados_finais - Copia (4)'!$P:$P,'resultados_finais - Copia (4)'!$E:$E,AV28,'resultados_finais - Copia (4)'!$P:$P,"&gt;=0"),"")</f>
        <v>0</v>
      </c>
      <c r="AZ28" t="s">
        <v>60</v>
      </c>
      <c r="BA28" t="str">
        <f>IFERROR(AVERAGEIFS($O:$O,$E:$E,AV28,$O:$O,"&gt;=0"),"")</f>
        <v/>
      </c>
    </row>
    <row r="29" spans="1:54">
      <c r="A29" s="1" t="s">
        <v>0</v>
      </c>
      <c r="B29" t="s">
        <v>79</v>
      </c>
      <c r="C29" s="3">
        <v>0</v>
      </c>
      <c r="D29" s="3">
        <v>0</v>
      </c>
      <c r="E29" s="3">
        <v>10</v>
      </c>
      <c r="F29" s="3">
        <v>25</v>
      </c>
      <c r="G29" s="3">
        <v>27</v>
      </c>
      <c r="H29" s="3">
        <v>4</v>
      </c>
      <c r="I29" s="3">
        <v>200</v>
      </c>
      <c r="J29" s="3">
        <v>0</v>
      </c>
      <c r="K29" s="3" t="s">
        <v>1</v>
      </c>
      <c r="L29" s="5">
        <v>201.1952</v>
      </c>
      <c r="M29" s="5">
        <v>4107.8910999999998</v>
      </c>
      <c r="N29" s="5">
        <v>-1</v>
      </c>
      <c r="O29" s="50">
        <v>445.87220000000002</v>
      </c>
      <c r="P29" s="5"/>
      <c r="Q29" s="3"/>
      <c r="R29" s="3">
        <v>31</v>
      </c>
      <c r="S29" s="3">
        <v>2816</v>
      </c>
      <c r="T29" s="3" t="s">
        <v>8</v>
      </c>
      <c r="U29" s="3"/>
      <c r="V29" s="3" t="s">
        <v>19</v>
      </c>
      <c r="W29" s="6">
        <v>46114.932511574072</v>
      </c>
      <c r="AT29" s="6"/>
      <c r="AU29" t="s">
        <v>61</v>
      </c>
      <c r="AV29">
        <v>1</v>
      </c>
      <c r="AW29">
        <f>IFERROR(_xlfn.MAXIFS($P$57:$P$76,$E$57:$E$76,AV29),"")</f>
        <v>0</v>
      </c>
      <c r="AX29" t="s">
        <v>59</v>
      </c>
      <c r="AY29">
        <f>IFERROR(_xlfn.MINIFS('resultados_finais - Copia (4)'!$P:$P,'resultados_finais - Copia (4)'!$E:$E,AV29,'resultados_finais - Copia (4)'!$P:$P,"&gt;=0"),"")</f>
        <v>0</v>
      </c>
      <c r="AZ29" t="s">
        <v>60</v>
      </c>
      <c r="BA29" t="str">
        <f>IFERROR(AVERAGEIFS($O:$O,$E:$E,AV29,$O:$O,"&gt;=0"),"")</f>
        <v/>
      </c>
    </row>
    <row r="30" spans="1:54">
      <c r="A30" s="1" t="s">
        <v>0</v>
      </c>
      <c r="B30" t="s">
        <v>80</v>
      </c>
      <c r="C30" s="3">
        <v>0</v>
      </c>
      <c r="D30" s="3">
        <v>0</v>
      </c>
      <c r="E30" s="3">
        <v>10</v>
      </c>
      <c r="F30" s="3">
        <v>25</v>
      </c>
      <c r="G30" s="3">
        <v>27</v>
      </c>
      <c r="H30" s="3">
        <v>4</v>
      </c>
      <c r="I30" s="3">
        <v>200</v>
      </c>
      <c r="J30" s="3">
        <v>0</v>
      </c>
      <c r="K30" s="3" t="s">
        <v>1</v>
      </c>
      <c r="L30" s="5">
        <v>200.9118</v>
      </c>
      <c r="M30" s="5">
        <v>2720.2743999999998</v>
      </c>
      <c r="N30" s="5">
        <v>-1</v>
      </c>
      <c r="O30" s="50">
        <v>429.6968</v>
      </c>
      <c r="P30" s="5"/>
      <c r="Q30" s="3"/>
      <c r="R30" s="3">
        <v>25</v>
      </c>
      <c r="S30" s="3">
        <v>1960</v>
      </c>
      <c r="T30" s="3" t="s">
        <v>8</v>
      </c>
      <c r="U30" s="3"/>
      <c r="V30" s="3" t="s">
        <v>20</v>
      </c>
      <c r="W30" s="6">
        <v>46114.966319444444</v>
      </c>
      <c r="AT30" s="6"/>
      <c r="AU30" t="s">
        <v>62</v>
      </c>
      <c r="AV30">
        <v>2</v>
      </c>
      <c r="AW30">
        <f>IFERROR(_xlfn.MAXIFS($P$57:$P$76,$E$57:$E$76,AV30),"")</f>
        <v>0</v>
      </c>
      <c r="AX30" t="s">
        <v>59</v>
      </c>
      <c r="AY30">
        <f>IFERROR(_xlfn.MINIFS('resultados_finais - Copia (4)'!$P:$P,'resultados_finais - Copia (4)'!$E:$E,AV30,'resultados_finais - Copia (4)'!$P:$P,"&gt;=0"),"")</f>
        <v>0</v>
      </c>
      <c r="AZ30" t="s">
        <v>60</v>
      </c>
      <c r="BA30" t="str">
        <f>IFERROR(AVERAGEIFS($O:$O,$E:$E,AV30,$O:$O,"&gt;=0"),"")</f>
        <v/>
      </c>
    </row>
    <row r="31" spans="1:54" ht="15" thickBot="1">
      <c r="A31" s="1" t="s">
        <v>0</v>
      </c>
      <c r="B31" t="s">
        <v>71</v>
      </c>
      <c r="C31" s="3">
        <v>0</v>
      </c>
      <c r="D31" s="3">
        <v>0</v>
      </c>
      <c r="E31" s="3">
        <v>10</v>
      </c>
      <c r="F31" s="3">
        <v>25</v>
      </c>
      <c r="G31" s="3">
        <v>27</v>
      </c>
      <c r="H31" s="3">
        <v>4</v>
      </c>
      <c r="I31" s="3">
        <v>200</v>
      </c>
      <c r="J31" s="3">
        <v>0</v>
      </c>
      <c r="K31" s="3" t="s">
        <v>1</v>
      </c>
      <c r="L31" s="5">
        <v>200.88820000000001</v>
      </c>
      <c r="M31" s="5">
        <v>3610.0805999999998</v>
      </c>
      <c r="N31" s="5">
        <v>394.10129999999998</v>
      </c>
      <c r="O31" s="52">
        <v>395.09089999999998</v>
      </c>
      <c r="P31" s="5">
        <v>0.25109999999999999</v>
      </c>
      <c r="Q31" s="3">
        <v>0</v>
      </c>
      <c r="R31" s="3">
        <v>61</v>
      </c>
      <c r="S31" s="3">
        <v>2044</v>
      </c>
      <c r="T31" s="3" t="s">
        <v>21</v>
      </c>
      <c r="U31" s="3"/>
      <c r="V31" s="3" t="s">
        <v>22</v>
      </c>
      <c r="W31" s="6">
        <v>46115.010428240741</v>
      </c>
      <c r="AT31" s="6"/>
      <c r="AU31" t="s">
        <v>63</v>
      </c>
      <c r="AV31">
        <v>3</v>
      </c>
      <c r="AW31">
        <f>IFERROR(_xlfn.MAXIFS($P$57:$P$76,$E$57:$E$76,AV31),"")</f>
        <v>0</v>
      </c>
      <c r="AX31" t="s">
        <v>64</v>
      </c>
      <c r="AY31">
        <f>IFERROR(_xlfn.MINIFS('resultados_finais - Copia (4)'!$P:$P,'resultados_finais - Copia (4)'!$E:$E,AV31,'resultados_finais - Copia (4)'!$P:$P,"&gt;=0"),"")</f>
        <v>0</v>
      </c>
      <c r="AZ31" t="s">
        <v>60</v>
      </c>
      <c r="BA31" t="str">
        <f>IFERROR(AVERAGEIFS($O:$O,$E:$E,AV31,$O:$O,"&gt;=0"),"")</f>
        <v/>
      </c>
    </row>
    <row r="32" spans="1:54">
      <c r="B32" t="s">
        <v>225</v>
      </c>
      <c r="Y32" s="33" t="s">
        <v>154</v>
      </c>
      <c r="Z32" s="33"/>
      <c r="AA32" s="33"/>
      <c r="AB32" s="33"/>
      <c r="AC32" s="33"/>
      <c r="AD32" s="33"/>
      <c r="AE32" s="33"/>
      <c r="AF32" s="33"/>
      <c r="AG32" s="33"/>
      <c r="AI32" s="33" t="s">
        <v>346</v>
      </c>
      <c r="AJ32" s="33"/>
      <c r="AK32" s="33"/>
      <c r="AL32" s="33"/>
      <c r="AM32" s="33"/>
      <c r="AN32" s="33"/>
      <c r="AO32" s="33"/>
      <c r="AP32" s="33"/>
      <c r="AQ32" s="33"/>
      <c r="AT32" s="6" t="s">
        <v>133</v>
      </c>
      <c r="AU32" t="s">
        <v>65</v>
      </c>
      <c r="AV32">
        <v>22</v>
      </c>
      <c r="AW32">
        <f>IFERROR(_xlfn.MAXIFS($P$57:$P$76,$E$57:$E$76,AV32),"")</f>
        <v>0</v>
      </c>
      <c r="AX32" t="s">
        <v>66</v>
      </c>
      <c r="AY32">
        <f>IFERROR(_xlfn.MINIFS('resultados_finais - Copia (4)'!$P:$P,'resultados_finais - Copia (4)'!$E:$E,AV32,'resultados_finais - Copia (4)'!$P:$P,"&gt;=0"),"")</f>
        <v>0</v>
      </c>
      <c r="AZ32" t="s">
        <v>60</v>
      </c>
      <c r="BA32" t="str">
        <f>IFERROR(AVERAGEIFS($O:$O,$E:$E,AV32,$O:$O,"&gt;=0"),"")</f>
        <v/>
      </c>
    </row>
    <row r="33" spans="1:53" ht="15" thickBot="1">
      <c r="B33" t="s">
        <v>226</v>
      </c>
      <c r="Y33" t="s">
        <v>94</v>
      </c>
      <c r="Z33" t="s">
        <v>95</v>
      </c>
      <c r="AA33" t="s">
        <v>96</v>
      </c>
      <c r="AB33" t="s">
        <v>97</v>
      </c>
      <c r="AC33" t="s">
        <v>98</v>
      </c>
      <c r="AD33" t="s">
        <v>99</v>
      </c>
      <c r="AE33" t="s">
        <v>100</v>
      </c>
      <c r="AF33" t="s">
        <v>101</v>
      </c>
      <c r="AG33" t="s">
        <v>102</v>
      </c>
      <c r="AI33" t="s">
        <v>94</v>
      </c>
      <c r="AJ33" t="s">
        <v>95</v>
      </c>
      <c r="AK33" t="s">
        <v>96</v>
      </c>
      <c r="AL33" t="s">
        <v>97</v>
      </c>
      <c r="AM33" t="s">
        <v>98</v>
      </c>
      <c r="AN33" t="s">
        <v>99</v>
      </c>
      <c r="AO33" t="s">
        <v>100</v>
      </c>
      <c r="AP33" t="s">
        <v>101</v>
      </c>
      <c r="AQ33" t="s">
        <v>102</v>
      </c>
      <c r="AT33" s="6"/>
      <c r="AU33" t="s">
        <v>67</v>
      </c>
      <c r="AV33">
        <v>10</v>
      </c>
      <c r="AW33">
        <f>IFERROR(_xlfn.MAXIFS($P$57:$P$76,$E$57:$E$76,AV33),"")</f>
        <v>8.4077000000000002</v>
      </c>
      <c r="AX33" t="s">
        <v>68</v>
      </c>
      <c r="AY33">
        <f>IFERROR(_xlfn.MINIFS('resultados_finais - Copia (4)'!$P:$P,'resultados_finais - Copia (4)'!$E:$E,AV33,'resultados_finais - Copia (4)'!$P:$P,"&gt;=0"),"")</f>
        <v>0</v>
      </c>
      <c r="AZ33" t="s">
        <v>60</v>
      </c>
      <c r="BA33">
        <f>IFERROR(AVERAGEIFS($O:$O,$E:$E,AV33,$O:$O,"&gt;=0"),"")</f>
        <v>291.01204181818184</v>
      </c>
    </row>
    <row r="34" spans="1:53">
      <c r="A34" s="14" t="s">
        <v>0</v>
      </c>
      <c r="B34" s="14" t="s">
        <v>60</v>
      </c>
      <c r="C34" s="14">
        <v>0</v>
      </c>
      <c r="D34" s="14">
        <v>0</v>
      </c>
      <c r="E34" s="14">
        <v>10</v>
      </c>
      <c r="F34" s="14">
        <v>25</v>
      </c>
      <c r="G34" s="14">
        <v>27</v>
      </c>
      <c r="H34" s="14">
        <v>8</v>
      </c>
      <c r="I34" s="14">
        <v>200</v>
      </c>
      <c r="J34" s="14">
        <v>0</v>
      </c>
      <c r="K34" s="14" t="s">
        <v>1</v>
      </c>
      <c r="L34" s="14">
        <v>0.73960000000000004</v>
      </c>
      <c r="M34" s="15">
        <v>25.3171</v>
      </c>
      <c r="N34" s="46" t="s">
        <v>156</v>
      </c>
      <c r="O34" s="53" t="s">
        <v>156</v>
      </c>
      <c r="P34" s="14">
        <v>0</v>
      </c>
      <c r="Q34" s="14">
        <v>1</v>
      </c>
      <c r="R34" s="17">
        <v>1</v>
      </c>
      <c r="S34" s="17">
        <v>1176</v>
      </c>
      <c r="T34" s="14" t="s">
        <v>2</v>
      </c>
      <c r="U34" s="14" t="s">
        <v>157</v>
      </c>
      <c r="V34" s="23">
        <v>46107.819814814815</v>
      </c>
      <c r="Y34" t="s">
        <v>103</v>
      </c>
      <c r="Z34">
        <v>25</v>
      </c>
      <c r="AA34">
        <v>227</v>
      </c>
      <c r="AB34">
        <v>617.1</v>
      </c>
      <c r="AC34">
        <v>617.1</v>
      </c>
      <c r="AD34">
        <v>8</v>
      </c>
      <c r="AE34">
        <v>1</v>
      </c>
      <c r="AF34">
        <v>78</v>
      </c>
      <c r="AG34">
        <v>5.8</v>
      </c>
      <c r="AI34" t="s">
        <v>103</v>
      </c>
      <c r="AJ34">
        <v>25</v>
      </c>
      <c r="AL34">
        <v>191.3</v>
      </c>
      <c r="AM34">
        <f>(O34-AC34)/AC34</f>
        <v>1.993031923513093E-3</v>
      </c>
      <c r="AN34">
        <v>3</v>
      </c>
      <c r="AO34">
        <v>1</v>
      </c>
      <c r="AP34">
        <f>S34/AF34</f>
        <v>15.076923076923077</v>
      </c>
      <c r="AQ34">
        <f>M34/AG34</f>
        <v>4.3650172413793102</v>
      </c>
      <c r="AT34" s="6"/>
    </row>
    <row r="35" spans="1:53" ht="15" thickBot="1">
      <c r="A35" t="s">
        <v>0</v>
      </c>
      <c r="B35" t="s">
        <v>66</v>
      </c>
      <c r="C35">
        <v>0</v>
      </c>
      <c r="D35">
        <v>0</v>
      </c>
      <c r="E35">
        <v>10</v>
      </c>
      <c r="F35">
        <v>25</v>
      </c>
      <c r="G35">
        <v>27</v>
      </c>
      <c r="H35">
        <v>7</v>
      </c>
      <c r="I35">
        <v>200</v>
      </c>
      <c r="J35">
        <v>0</v>
      </c>
      <c r="K35" t="s">
        <v>1</v>
      </c>
      <c r="L35">
        <v>1200.9863</v>
      </c>
      <c r="M35" s="15">
        <v>1620.0409</v>
      </c>
      <c r="N35" s="46" t="s">
        <v>158</v>
      </c>
      <c r="O35" s="54" t="s">
        <v>158</v>
      </c>
      <c r="P35">
        <v>0</v>
      </c>
      <c r="Q35">
        <v>1</v>
      </c>
      <c r="R35" s="17">
        <v>2585</v>
      </c>
      <c r="S35" s="17">
        <v>2170</v>
      </c>
      <c r="T35" t="s">
        <v>4</v>
      </c>
      <c r="U35" t="s">
        <v>159</v>
      </c>
      <c r="V35" s="2">
        <v>46107.852465277778</v>
      </c>
      <c r="Y35" t="s">
        <v>104</v>
      </c>
      <c r="Z35">
        <v>25</v>
      </c>
      <c r="AA35">
        <v>404</v>
      </c>
      <c r="AB35">
        <v>546.4</v>
      </c>
      <c r="AC35">
        <v>547.1</v>
      </c>
      <c r="AD35">
        <v>7</v>
      </c>
      <c r="AE35">
        <v>3</v>
      </c>
      <c r="AF35">
        <v>165</v>
      </c>
      <c r="AG35">
        <v>20.3</v>
      </c>
      <c r="AI35" t="s">
        <v>104</v>
      </c>
      <c r="AJ35">
        <v>25</v>
      </c>
      <c r="AL35">
        <v>190.3</v>
      </c>
      <c r="AM35">
        <f t="shared" ref="AM35:AM45" si="4">(O35-AC35)/AC35</f>
        <v>1.8420764028513519E-3</v>
      </c>
      <c r="AN35">
        <v>3</v>
      </c>
      <c r="AO35">
        <v>1</v>
      </c>
      <c r="AP35">
        <f t="shared" ref="AP35:AP45" si="5">S35/AF35</f>
        <v>13.151515151515152</v>
      </c>
      <c r="AQ35">
        <f t="shared" ref="AQ35:AQ45" si="6">M35/AG35</f>
        <v>79.804970443349745</v>
      </c>
      <c r="AT35" s="6"/>
    </row>
    <row r="36" spans="1:53" ht="15" thickBot="1">
      <c r="A36" t="s">
        <v>0</v>
      </c>
      <c r="B36" t="s">
        <v>72</v>
      </c>
      <c r="C36">
        <v>0</v>
      </c>
      <c r="D36">
        <v>0</v>
      </c>
      <c r="E36">
        <v>10</v>
      </c>
      <c r="F36">
        <v>25</v>
      </c>
      <c r="G36">
        <v>27</v>
      </c>
      <c r="H36">
        <v>5</v>
      </c>
      <c r="I36">
        <v>200</v>
      </c>
      <c r="J36">
        <v>0</v>
      </c>
      <c r="K36" t="s">
        <v>1</v>
      </c>
      <c r="L36">
        <v>1201.1936000000001</v>
      </c>
      <c r="M36" s="15">
        <v>185.24809999999999</v>
      </c>
      <c r="N36" s="46" t="s">
        <v>160</v>
      </c>
      <c r="O36" s="54" t="s">
        <v>161</v>
      </c>
      <c r="P36">
        <v>-2.6800999999999999</v>
      </c>
      <c r="Q36">
        <v>0</v>
      </c>
      <c r="R36" s="17">
        <v>1</v>
      </c>
      <c r="S36" s="17">
        <v>1525</v>
      </c>
      <c r="T36" t="s">
        <v>162</v>
      </c>
      <c r="U36" t="s">
        <v>163</v>
      </c>
      <c r="V36" s="2">
        <v>46107.868506944447</v>
      </c>
      <c r="Y36" t="s">
        <v>105</v>
      </c>
      <c r="Z36">
        <v>25</v>
      </c>
      <c r="AA36">
        <v>510</v>
      </c>
      <c r="AB36">
        <v>454.6</v>
      </c>
      <c r="AC36">
        <v>454.6</v>
      </c>
      <c r="AD36">
        <v>5</v>
      </c>
      <c r="AE36">
        <v>1</v>
      </c>
      <c r="AF36">
        <v>246</v>
      </c>
      <c r="AG36">
        <v>22.2</v>
      </c>
      <c r="AI36" t="s">
        <v>105</v>
      </c>
      <c r="AJ36">
        <v>25</v>
      </c>
      <c r="AL36">
        <v>190.3</v>
      </c>
      <c r="AM36">
        <f t="shared" si="4"/>
        <v>2.4157501099867202E-3</v>
      </c>
      <c r="AN36">
        <v>3</v>
      </c>
      <c r="AO36">
        <v>1</v>
      </c>
      <c r="AP36">
        <f t="shared" si="5"/>
        <v>6.1991869918699187</v>
      </c>
      <c r="AQ36">
        <f t="shared" si="6"/>
        <v>8.344509009009009</v>
      </c>
      <c r="AT36" s="6"/>
      <c r="AW36" s="30" t="s">
        <v>69</v>
      </c>
      <c r="AX36" s="31"/>
      <c r="AY36" s="31"/>
      <c r="AZ36" s="31"/>
      <c r="BA36" s="32"/>
    </row>
    <row r="37" spans="1:53">
      <c r="A37" t="s">
        <v>0</v>
      </c>
      <c r="B37" t="s">
        <v>73</v>
      </c>
      <c r="C37">
        <v>0</v>
      </c>
      <c r="D37">
        <v>0</v>
      </c>
      <c r="E37">
        <v>10</v>
      </c>
      <c r="F37">
        <v>25</v>
      </c>
      <c r="G37">
        <v>27</v>
      </c>
      <c r="H37">
        <v>4</v>
      </c>
      <c r="I37">
        <v>200</v>
      </c>
      <c r="J37">
        <v>0</v>
      </c>
      <c r="K37" t="s">
        <v>1</v>
      </c>
      <c r="L37">
        <v>1201.6167</v>
      </c>
      <c r="M37" s="15">
        <v>162.71610000000001</v>
      </c>
      <c r="N37" s="46" t="s">
        <v>164</v>
      </c>
      <c r="O37" s="54" t="s">
        <v>165</v>
      </c>
      <c r="P37">
        <v>-7.8745000000000003</v>
      </c>
      <c r="Q37">
        <v>0</v>
      </c>
      <c r="R37" s="17">
        <v>3</v>
      </c>
      <c r="S37" s="17">
        <v>1732</v>
      </c>
      <c r="T37" t="s">
        <v>166</v>
      </c>
      <c r="U37" t="s">
        <v>167</v>
      </c>
      <c r="V37" s="2">
        <v>46107.884293981479</v>
      </c>
      <c r="Y37" t="s">
        <v>106</v>
      </c>
      <c r="Z37">
        <v>25</v>
      </c>
      <c r="AA37">
        <v>559</v>
      </c>
      <c r="AB37">
        <v>416.9</v>
      </c>
      <c r="AC37">
        <v>416.9</v>
      </c>
      <c r="AD37">
        <v>4</v>
      </c>
      <c r="AE37">
        <v>1</v>
      </c>
      <c r="AF37">
        <v>419</v>
      </c>
      <c r="AG37">
        <v>46</v>
      </c>
      <c r="AI37" t="s">
        <v>106</v>
      </c>
      <c r="AJ37">
        <v>25</v>
      </c>
      <c r="AL37">
        <v>186.9</v>
      </c>
      <c r="AM37">
        <f t="shared" si="4"/>
        <v>2.5454545454546467E-3</v>
      </c>
      <c r="AN37">
        <v>3</v>
      </c>
      <c r="AO37">
        <v>1</v>
      </c>
      <c r="AP37">
        <f t="shared" si="5"/>
        <v>4.1336515513126493</v>
      </c>
      <c r="AQ37">
        <f t="shared" si="6"/>
        <v>3.5373065217391306</v>
      </c>
      <c r="AT37" s="6"/>
      <c r="AV37" t="s">
        <v>54</v>
      </c>
      <c r="AW37" t="s">
        <v>55</v>
      </c>
      <c r="AX37" t="s">
        <v>56</v>
      </c>
      <c r="AY37" t="s">
        <v>57</v>
      </c>
      <c r="AZ37" t="s">
        <v>56</v>
      </c>
      <c r="BA37" t="s">
        <v>58</v>
      </c>
    </row>
    <row r="38" spans="1:53">
      <c r="A38" t="s">
        <v>0</v>
      </c>
      <c r="B38" t="s">
        <v>74</v>
      </c>
      <c r="C38">
        <v>0</v>
      </c>
      <c r="D38">
        <v>0</v>
      </c>
      <c r="E38">
        <v>10</v>
      </c>
      <c r="F38">
        <v>25</v>
      </c>
      <c r="G38">
        <v>27</v>
      </c>
      <c r="H38">
        <v>6</v>
      </c>
      <c r="I38">
        <v>200</v>
      </c>
      <c r="J38">
        <v>0</v>
      </c>
      <c r="K38" t="s">
        <v>1</v>
      </c>
      <c r="L38">
        <v>17.6753</v>
      </c>
      <c r="M38" s="15">
        <v>45.564900000000002</v>
      </c>
      <c r="N38" s="46" t="s">
        <v>168</v>
      </c>
      <c r="O38" s="54" t="s">
        <v>168</v>
      </c>
      <c r="P38">
        <v>0</v>
      </c>
      <c r="Q38">
        <v>1</v>
      </c>
      <c r="R38" s="17">
        <v>1</v>
      </c>
      <c r="S38" s="17">
        <v>1242</v>
      </c>
      <c r="T38" t="s">
        <v>10</v>
      </c>
      <c r="U38" t="s">
        <v>169</v>
      </c>
      <c r="V38" s="2">
        <v>46107.885034722225</v>
      </c>
      <c r="Y38" t="s">
        <v>107</v>
      </c>
      <c r="Z38">
        <v>25</v>
      </c>
      <c r="AA38">
        <v>303</v>
      </c>
      <c r="AB38">
        <v>526</v>
      </c>
      <c r="AC38">
        <v>530.5</v>
      </c>
      <c r="AD38">
        <v>6</v>
      </c>
      <c r="AE38">
        <v>7</v>
      </c>
      <c r="AF38">
        <v>554</v>
      </c>
      <c r="AG38">
        <v>22.6</v>
      </c>
      <c r="AI38" t="s">
        <v>107</v>
      </c>
      <c r="AJ38">
        <v>25</v>
      </c>
      <c r="AL38">
        <v>191.3</v>
      </c>
      <c r="AM38">
        <f t="shared" si="4"/>
        <v>1.9577756833175758E-3</v>
      </c>
      <c r="AN38">
        <v>3</v>
      </c>
      <c r="AO38">
        <v>1</v>
      </c>
      <c r="AP38">
        <f t="shared" si="5"/>
        <v>2.2418772563176894</v>
      </c>
      <c r="AQ38">
        <f t="shared" si="6"/>
        <v>2.0161460176991151</v>
      </c>
      <c r="AT38" s="6"/>
      <c r="AV38">
        <v>0</v>
      </c>
      <c r="AW38">
        <v>3999.3000999999999</v>
      </c>
      <c r="AX38" t="s">
        <v>59</v>
      </c>
      <c r="AY38">
        <v>67.948899999999995</v>
      </c>
      <c r="BA38">
        <v>1577.3655799999999</v>
      </c>
    </row>
    <row r="39" spans="1:53">
      <c r="A39" t="s">
        <v>0</v>
      </c>
      <c r="B39" t="s">
        <v>75</v>
      </c>
      <c r="C39">
        <v>0</v>
      </c>
      <c r="D39">
        <v>0</v>
      </c>
      <c r="E39">
        <v>10</v>
      </c>
      <c r="F39">
        <v>25</v>
      </c>
      <c r="G39">
        <v>27</v>
      </c>
      <c r="H39">
        <v>5</v>
      </c>
      <c r="I39">
        <v>200</v>
      </c>
      <c r="J39">
        <v>0</v>
      </c>
      <c r="K39" t="s">
        <v>1</v>
      </c>
      <c r="L39">
        <v>1096.8556000000001</v>
      </c>
      <c r="M39" s="15">
        <v>896.23320000000001</v>
      </c>
      <c r="N39" s="46" t="s">
        <v>170</v>
      </c>
      <c r="O39" s="54" t="s">
        <v>170</v>
      </c>
      <c r="P39">
        <v>0</v>
      </c>
      <c r="Q39">
        <v>1</v>
      </c>
      <c r="R39" s="17">
        <v>135</v>
      </c>
      <c r="S39" s="17">
        <v>2515</v>
      </c>
      <c r="T39" t="s">
        <v>12</v>
      </c>
      <c r="U39" t="s">
        <v>171</v>
      </c>
      <c r="V39" s="2">
        <v>46107.908101851855</v>
      </c>
      <c r="Y39" t="s">
        <v>108</v>
      </c>
      <c r="Z39">
        <v>25</v>
      </c>
      <c r="AA39">
        <v>458</v>
      </c>
      <c r="AB39">
        <v>457.3</v>
      </c>
      <c r="AC39">
        <v>467.4</v>
      </c>
      <c r="AD39">
        <v>5</v>
      </c>
      <c r="AE39">
        <v>15</v>
      </c>
      <c r="AF39">
        <v>2451</v>
      </c>
      <c r="AG39">
        <v>205.2</v>
      </c>
      <c r="AI39" t="s">
        <v>108</v>
      </c>
      <c r="AJ39">
        <v>25</v>
      </c>
      <c r="AL39">
        <v>191.3</v>
      </c>
      <c r="AM39">
        <f t="shared" si="4"/>
        <v>-1.9679075738124785E-3</v>
      </c>
      <c r="AN39">
        <v>3</v>
      </c>
      <c r="AO39">
        <v>1</v>
      </c>
      <c r="AP39">
        <f t="shared" si="5"/>
        <v>1.0261117911056712</v>
      </c>
      <c r="AQ39">
        <f t="shared" si="6"/>
        <v>4.3676081871345032</v>
      </c>
      <c r="AT39" s="6"/>
      <c r="AV39">
        <v>1</v>
      </c>
      <c r="AW39">
        <v>3786.1477</v>
      </c>
      <c r="AX39" t="s">
        <v>70</v>
      </c>
      <c r="AY39">
        <v>20.212499999999999</v>
      </c>
      <c r="BA39">
        <v>1251.4237000000001</v>
      </c>
    </row>
    <row r="40" spans="1:53">
      <c r="A40" t="s">
        <v>0</v>
      </c>
      <c r="B40" t="s">
        <v>76</v>
      </c>
      <c r="C40">
        <v>0</v>
      </c>
      <c r="D40">
        <v>0</v>
      </c>
      <c r="E40">
        <v>10</v>
      </c>
      <c r="F40">
        <v>25</v>
      </c>
      <c r="G40">
        <v>27</v>
      </c>
      <c r="H40">
        <v>4</v>
      </c>
      <c r="I40">
        <v>200</v>
      </c>
      <c r="J40">
        <v>0</v>
      </c>
      <c r="K40" t="s">
        <v>1</v>
      </c>
      <c r="L40">
        <v>1201.4686999999999</v>
      </c>
      <c r="M40" s="15">
        <v>191.86699999999999</v>
      </c>
      <c r="N40" s="46" t="s">
        <v>172</v>
      </c>
      <c r="O40" s="54" t="s">
        <v>173</v>
      </c>
      <c r="P40">
        <v>-0.91610000000000003</v>
      </c>
      <c r="Q40">
        <v>0</v>
      </c>
      <c r="R40" s="17">
        <v>1</v>
      </c>
      <c r="S40" s="17">
        <v>1816</v>
      </c>
      <c r="T40" t="s">
        <v>174</v>
      </c>
      <c r="U40" t="s">
        <v>175</v>
      </c>
      <c r="V40" s="2">
        <v>46107.924224537041</v>
      </c>
      <c r="Y40" t="s">
        <v>109</v>
      </c>
      <c r="Z40">
        <v>25</v>
      </c>
      <c r="AA40">
        <v>542</v>
      </c>
      <c r="AB40">
        <v>423</v>
      </c>
      <c r="AC40">
        <v>424.3</v>
      </c>
      <c r="AD40">
        <v>4</v>
      </c>
      <c r="AE40">
        <v>21</v>
      </c>
      <c r="AF40">
        <v>3191</v>
      </c>
      <c r="AG40">
        <v>304.10000000000002</v>
      </c>
      <c r="AI40" t="s">
        <v>109</v>
      </c>
      <c r="AJ40">
        <v>25</v>
      </c>
      <c r="AL40">
        <v>191.3</v>
      </c>
      <c r="AM40">
        <f t="shared" si="4"/>
        <v>2.2825830780108551E-3</v>
      </c>
      <c r="AN40">
        <v>3</v>
      </c>
      <c r="AO40">
        <v>1</v>
      </c>
      <c r="AP40">
        <f t="shared" si="5"/>
        <v>0.56910059542463176</v>
      </c>
      <c r="AQ40">
        <f t="shared" si="6"/>
        <v>0.63093390332127586</v>
      </c>
      <c r="AT40" s="6"/>
      <c r="AV40">
        <v>2</v>
      </c>
      <c r="AW40">
        <v>4212.7161999999998</v>
      </c>
      <c r="AX40" t="s">
        <v>70</v>
      </c>
      <c r="AY40">
        <v>23.310600000000001</v>
      </c>
      <c r="BA40">
        <v>1214.44336</v>
      </c>
    </row>
    <row r="41" spans="1:53">
      <c r="A41" t="s">
        <v>0</v>
      </c>
      <c r="B41" t="s">
        <v>77</v>
      </c>
      <c r="C41">
        <v>0</v>
      </c>
      <c r="D41">
        <v>0</v>
      </c>
      <c r="E41">
        <v>10</v>
      </c>
      <c r="F41">
        <v>25</v>
      </c>
      <c r="G41">
        <v>27</v>
      </c>
      <c r="H41">
        <v>4</v>
      </c>
      <c r="I41">
        <v>200</v>
      </c>
      <c r="J41">
        <v>0</v>
      </c>
      <c r="K41" t="s">
        <v>1</v>
      </c>
      <c r="L41">
        <v>1201.4431999999999</v>
      </c>
      <c r="M41" s="15">
        <v>545.2921</v>
      </c>
      <c r="N41" s="46" t="s">
        <v>176</v>
      </c>
      <c r="O41" s="54" t="s">
        <v>176</v>
      </c>
      <c r="P41">
        <v>0</v>
      </c>
      <c r="Q41">
        <v>1</v>
      </c>
      <c r="R41" s="17">
        <v>25</v>
      </c>
      <c r="S41" s="17">
        <v>1920</v>
      </c>
      <c r="T41" t="s">
        <v>177</v>
      </c>
      <c r="U41" t="s">
        <v>178</v>
      </c>
      <c r="V41" s="2">
        <v>46107.944444444445</v>
      </c>
      <c r="Y41" t="s">
        <v>110</v>
      </c>
      <c r="Z41">
        <v>25</v>
      </c>
      <c r="AA41">
        <v>586</v>
      </c>
      <c r="AB41">
        <v>396.2</v>
      </c>
      <c r="AC41">
        <v>397.2</v>
      </c>
      <c r="AD41">
        <v>4</v>
      </c>
      <c r="AE41">
        <v>3</v>
      </c>
      <c r="AF41">
        <v>1041</v>
      </c>
      <c r="AG41">
        <v>307.39999999999998</v>
      </c>
      <c r="AI41" t="s">
        <v>110</v>
      </c>
      <c r="AJ41">
        <v>25</v>
      </c>
      <c r="AL41">
        <v>191.3</v>
      </c>
      <c r="AM41">
        <f t="shared" si="4"/>
        <v>2.7560422960724797E-3</v>
      </c>
      <c r="AN41">
        <v>3</v>
      </c>
      <c r="AO41">
        <v>1</v>
      </c>
      <c r="AP41">
        <f t="shared" si="5"/>
        <v>1.8443804034582132</v>
      </c>
      <c r="AQ41">
        <f t="shared" si="6"/>
        <v>1.7738845152895253</v>
      </c>
      <c r="AT41" s="6"/>
      <c r="AV41">
        <v>3</v>
      </c>
      <c r="AW41">
        <v>3633.8024999999998</v>
      </c>
      <c r="AX41" t="s">
        <v>59</v>
      </c>
      <c r="AY41">
        <v>2.2683</v>
      </c>
      <c r="BA41">
        <v>814.73283330000004</v>
      </c>
    </row>
    <row r="42" spans="1:53">
      <c r="A42" t="s">
        <v>0</v>
      </c>
      <c r="B42" t="s">
        <v>78</v>
      </c>
      <c r="C42">
        <v>0</v>
      </c>
      <c r="D42">
        <v>0</v>
      </c>
      <c r="E42">
        <v>10</v>
      </c>
      <c r="F42">
        <v>25</v>
      </c>
      <c r="G42">
        <v>27</v>
      </c>
      <c r="H42">
        <v>5</v>
      </c>
      <c r="I42">
        <v>200</v>
      </c>
      <c r="J42">
        <v>0</v>
      </c>
      <c r="K42" t="s">
        <v>1</v>
      </c>
      <c r="L42">
        <v>69.622900000000001</v>
      </c>
      <c r="M42" s="15">
        <v>64.655000000000001</v>
      </c>
      <c r="N42" s="46" t="s">
        <v>179</v>
      </c>
      <c r="O42" s="54" t="s">
        <v>179</v>
      </c>
      <c r="P42">
        <v>0</v>
      </c>
      <c r="Q42">
        <v>1</v>
      </c>
      <c r="R42" s="17">
        <v>1</v>
      </c>
      <c r="S42" s="17">
        <v>1730</v>
      </c>
      <c r="T42" t="s">
        <v>17</v>
      </c>
      <c r="U42" t="s">
        <v>180</v>
      </c>
      <c r="V42" s="2">
        <v>46107.94599537037</v>
      </c>
      <c r="Y42" t="s">
        <v>111</v>
      </c>
      <c r="Z42">
        <v>25</v>
      </c>
      <c r="AA42">
        <v>411</v>
      </c>
      <c r="AB42">
        <v>441.3</v>
      </c>
      <c r="AC42">
        <v>441.3</v>
      </c>
      <c r="AD42">
        <v>5</v>
      </c>
      <c r="AE42">
        <v>1</v>
      </c>
      <c r="AF42">
        <v>207</v>
      </c>
      <c r="AG42">
        <v>14.4</v>
      </c>
      <c r="AI42" t="s">
        <v>111</v>
      </c>
      <c r="AJ42">
        <v>25</v>
      </c>
      <c r="AL42">
        <v>189.4</v>
      </c>
      <c r="AM42">
        <f t="shared" si="4"/>
        <v>3.0029458418309434E-3</v>
      </c>
      <c r="AN42">
        <v>3</v>
      </c>
      <c r="AO42">
        <v>3</v>
      </c>
      <c r="AP42">
        <f t="shared" si="5"/>
        <v>8.3574879227053138</v>
      </c>
      <c r="AQ42">
        <f t="shared" si="6"/>
        <v>4.4899305555555555</v>
      </c>
      <c r="AT42" s="6"/>
      <c r="AV42">
        <v>22</v>
      </c>
      <c r="AW42">
        <v>4554.6504999999997</v>
      </c>
      <c r="AX42" t="s">
        <v>70</v>
      </c>
      <c r="AY42">
        <v>99.904700000000005</v>
      </c>
      <c r="BA42">
        <v>2195.5316069999999</v>
      </c>
    </row>
    <row r="43" spans="1:53">
      <c r="A43" t="s">
        <v>0</v>
      </c>
      <c r="B43" t="s">
        <v>79</v>
      </c>
      <c r="C43">
        <v>0</v>
      </c>
      <c r="D43">
        <v>0</v>
      </c>
      <c r="E43">
        <v>10</v>
      </c>
      <c r="F43">
        <v>25</v>
      </c>
      <c r="G43">
        <v>27</v>
      </c>
      <c r="H43">
        <v>4</v>
      </c>
      <c r="I43">
        <v>200</v>
      </c>
      <c r="J43">
        <v>0</v>
      </c>
      <c r="K43" t="s">
        <v>1</v>
      </c>
      <c r="L43">
        <v>1201.7543000000001</v>
      </c>
      <c r="M43" s="15">
        <v>1085.3520000000001</v>
      </c>
      <c r="N43" s="46" t="s">
        <v>181</v>
      </c>
      <c r="O43" s="54" t="s">
        <v>182</v>
      </c>
      <c r="R43" s="17">
        <v>91</v>
      </c>
      <c r="S43" s="17">
        <v>2664</v>
      </c>
      <c r="T43" t="s">
        <v>8</v>
      </c>
      <c r="U43" t="s">
        <v>183</v>
      </c>
      <c r="V43" s="2">
        <v>46107.97246527778</v>
      </c>
      <c r="Y43" t="s">
        <v>112</v>
      </c>
      <c r="Z43">
        <v>25</v>
      </c>
      <c r="AA43">
        <v>530</v>
      </c>
      <c r="AB43">
        <v>425.4</v>
      </c>
      <c r="AC43">
        <v>429.5</v>
      </c>
      <c r="AD43">
        <v>4</v>
      </c>
      <c r="AE43">
        <v>5</v>
      </c>
      <c r="AF43">
        <v>655</v>
      </c>
      <c r="AG43">
        <v>64.3</v>
      </c>
      <c r="AI43" t="s">
        <v>112</v>
      </c>
      <c r="AJ43">
        <v>25</v>
      </c>
      <c r="AM43">
        <f t="shared" si="4"/>
        <v>3.8119208381839395E-2</v>
      </c>
      <c r="AP43">
        <f t="shared" si="5"/>
        <v>4.0671755725190843</v>
      </c>
      <c r="AQ43">
        <f t="shared" si="6"/>
        <v>16.879502332814933</v>
      </c>
      <c r="AT43" s="6"/>
      <c r="AV43">
        <v>10</v>
      </c>
      <c r="AW43">
        <v>3346.43</v>
      </c>
      <c r="AX43" t="s">
        <v>71</v>
      </c>
      <c r="AY43">
        <v>25.3171</v>
      </c>
      <c r="BA43">
        <v>545.35545709999997</v>
      </c>
    </row>
    <row r="44" spans="1:53">
      <c r="A44" t="s">
        <v>0</v>
      </c>
      <c r="B44" t="s">
        <v>80</v>
      </c>
      <c r="C44">
        <v>0</v>
      </c>
      <c r="D44">
        <v>0</v>
      </c>
      <c r="E44">
        <v>10</v>
      </c>
      <c r="F44">
        <v>25</v>
      </c>
      <c r="G44">
        <v>27</v>
      </c>
      <c r="H44">
        <v>4</v>
      </c>
      <c r="I44">
        <v>200</v>
      </c>
      <c r="J44">
        <v>0</v>
      </c>
      <c r="K44" t="s">
        <v>1</v>
      </c>
      <c r="L44">
        <v>1201.4562000000001</v>
      </c>
      <c r="M44" s="15">
        <v>313.93610000000001</v>
      </c>
      <c r="N44" s="46" t="s">
        <v>184</v>
      </c>
      <c r="O44" s="54" t="s">
        <v>185</v>
      </c>
      <c r="P44">
        <v>-2.5415000000000001</v>
      </c>
      <c r="Q44">
        <v>0</v>
      </c>
      <c r="R44" s="17">
        <v>29</v>
      </c>
      <c r="S44" s="17">
        <v>1988</v>
      </c>
      <c r="T44" t="s">
        <v>186</v>
      </c>
      <c r="U44" t="s">
        <v>187</v>
      </c>
      <c r="V44" s="2">
        <v>46107.990011574075</v>
      </c>
      <c r="Y44" t="s">
        <v>113</v>
      </c>
      <c r="Z44">
        <v>25</v>
      </c>
      <c r="AA44">
        <v>526</v>
      </c>
      <c r="AB44">
        <v>423.5</v>
      </c>
      <c r="AC44">
        <v>428.8</v>
      </c>
      <c r="AD44">
        <v>4</v>
      </c>
      <c r="AE44">
        <v>15</v>
      </c>
      <c r="AF44">
        <v>2794</v>
      </c>
      <c r="AG44">
        <v>330</v>
      </c>
      <c r="AI44" t="s">
        <v>113</v>
      </c>
      <c r="AJ44">
        <v>25</v>
      </c>
      <c r="AM44">
        <f t="shared" si="4"/>
        <v>2.0914179104477254E-3</v>
      </c>
      <c r="AP44">
        <f t="shared" si="5"/>
        <v>0.71152469577666433</v>
      </c>
      <c r="AQ44">
        <f t="shared" si="6"/>
        <v>0.9513215151515152</v>
      </c>
    </row>
    <row r="45" spans="1:53" ht="15" thickBot="1">
      <c r="A45" t="s">
        <v>0</v>
      </c>
      <c r="B45" t="s">
        <v>71</v>
      </c>
      <c r="C45">
        <v>0</v>
      </c>
      <c r="D45">
        <v>0</v>
      </c>
      <c r="E45">
        <v>10</v>
      </c>
      <c r="F45">
        <v>25</v>
      </c>
      <c r="G45">
        <v>27</v>
      </c>
      <c r="H45">
        <v>4</v>
      </c>
      <c r="I45">
        <v>200</v>
      </c>
      <c r="J45">
        <v>0</v>
      </c>
      <c r="K45" t="s">
        <v>1</v>
      </c>
      <c r="L45">
        <v>1201.4874</v>
      </c>
      <c r="M45" s="24">
        <v>3346.43</v>
      </c>
      <c r="N45" s="47" t="s">
        <v>188</v>
      </c>
      <c r="O45" s="55" t="s">
        <v>189</v>
      </c>
      <c r="P45">
        <v>0.73140000000000005</v>
      </c>
      <c r="Q45">
        <v>0</v>
      </c>
      <c r="R45" s="25">
        <v>559</v>
      </c>
      <c r="S45" s="25">
        <v>3936</v>
      </c>
      <c r="T45" t="s">
        <v>21</v>
      </c>
      <c r="U45" t="s">
        <v>190</v>
      </c>
      <c r="V45" s="2">
        <v>46108.042650462965</v>
      </c>
      <c r="Y45" t="s">
        <v>114</v>
      </c>
      <c r="Z45">
        <v>25</v>
      </c>
      <c r="AA45">
        <v>647</v>
      </c>
      <c r="AB45">
        <v>383.9</v>
      </c>
      <c r="AC45">
        <v>393</v>
      </c>
      <c r="AD45">
        <v>4</v>
      </c>
      <c r="AE45">
        <v>21</v>
      </c>
      <c r="AF45">
        <v>2643</v>
      </c>
      <c r="AG45">
        <v>623.29999999999995</v>
      </c>
      <c r="AI45" t="s">
        <v>114</v>
      </c>
      <c r="AJ45">
        <v>25</v>
      </c>
      <c r="AM45">
        <f t="shared" si="4"/>
        <v>1.0136895674300189E-2</v>
      </c>
      <c r="AP45">
        <f t="shared" si="5"/>
        <v>1.4892167990919409</v>
      </c>
      <c r="AQ45">
        <f t="shared" si="6"/>
        <v>5.3688913845660196</v>
      </c>
    </row>
    <row r="46" spans="1:53">
      <c r="A46" s="14" t="s">
        <v>0</v>
      </c>
      <c r="B46" s="14" t="s">
        <v>64</v>
      </c>
      <c r="C46" s="14">
        <v>0</v>
      </c>
      <c r="D46" s="14">
        <v>0</v>
      </c>
      <c r="E46" s="14">
        <v>10</v>
      </c>
      <c r="F46" s="14">
        <v>25</v>
      </c>
      <c r="G46" s="14">
        <v>27</v>
      </c>
      <c r="H46" s="14">
        <v>3</v>
      </c>
      <c r="I46" s="14">
        <v>200</v>
      </c>
      <c r="J46" s="14">
        <v>0</v>
      </c>
      <c r="K46" s="14" t="s">
        <v>1</v>
      </c>
      <c r="L46" s="14">
        <v>3.8125</v>
      </c>
      <c r="M46" s="15">
        <v>3605.2732999999998</v>
      </c>
      <c r="N46" s="16" t="s">
        <v>191</v>
      </c>
      <c r="O46" s="48" t="s">
        <v>192</v>
      </c>
      <c r="P46" s="14">
        <v>3.7848999999999999</v>
      </c>
      <c r="Q46" s="14">
        <v>0</v>
      </c>
      <c r="R46" s="17">
        <v>212</v>
      </c>
      <c r="S46" s="17">
        <v>5661</v>
      </c>
      <c r="T46" s="14" t="s">
        <v>23</v>
      </c>
      <c r="U46" s="14" t="s">
        <v>193</v>
      </c>
      <c r="V46" s="23">
        <v>46108.084421296298</v>
      </c>
    </row>
    <row r="47" spans="1:53" s="26" customFormat="1">
      <c r="A47" s="26" t="s">
        <v>0</v>
      </c>
      <c r="B47" s="26" t="s">
        <v>59</v>
      </c>
      <c r="C47" s="26">
        <v>0</v>
      </c>
      <c r="D47" s="26">
        <v>0</v>
      </c>
      <c r="E47" s="26">
        <v>10</v>
      </c>
      <c r="F47" s="26">
        <v>25</v>
      </c>
      <c r="G47" s="26">
        <v>27</v>
      </c>
      <c r="H47" s="26">
        <v>3</v>
      </c>
      <c r="I47" s="26">
        <v>200</v>
      </c>
      <c r="J47" s="26">
        <v>0</v>
      </c>
      <c r="K47" s="26" t="s">
        <v>1</v>
      </c>
      <c r="L47" s="26">
        <v>1201.3277</v>
      </c>
      <c r="M47" s="27">
        <v>3647.1527000000001</v>
      </c>
      <c r="N47" s="27" t="s">
        <v>194</v>
      </c>
      <c r="O47" s="27" t="s">
        <v>195</v>
      </c>
      <c r="P47" s="26">
        <v>12.990600000000001</v>
      </c>
      <c r="Q47" s="26">
        <v>0</v>
      </c>
      <c r="R47" s="27">
        <v>165</v>
      </c>
      <c r="S47" s="27">
        <v>5613</v>
      </c>
      <c r="T47" s="26" t="s">
        <v>196</v>
      </c>
      <c r="U47" s="26" t="s">
        <v>197</v>
      </c>
      <c r="V47" s="28">
        <v>46108.140532407408</v>
      </c>
      <c r="Y47"/>
      <c r="Z47"/>
      <c r="AA47"/>
      <c r="AB47"/>
      <c r="AC47"/>
      <c r="AD47"/>
      <c r="AE47"/>
      <c r="AF47"/>
      <c r="AG47"/>
    </row>
    <row r="48" spans="1:53">
      <c r="A48" t="s">
        <v>0</v>
      </c>
      <c r="B48" t="s">
        <v>70</v>
      </c>
      <c r="C48">
        <v>0</v>
      </c>
      <c r="D48">
        <v>0</v>
      </c>
      <c r="E48">
        <v>10</v>
      </c>
      <c r="F48">
        <v>25</v>
      </c>
      <c r="G48">
        <v>27</v>
      </c>
      <c r="H48">
        <v>3</v>
      </c>
      <c r="I48">
        <v>200</v>
      </c>
      <c r="J48">
        <v>0</v>
      </c>
      <c r="K48" t="s">
        <v>1</v>
      </c>
      <c r="L48">
        <v>1202.2618</v>
      </c>
      <c r="M48" s="15">
        <v>3715.3123999999998</v>
      </c>
      <c r="N48" s="16" t="s">
        <v>191</v>
      </c>
      <c r="O48" s="16" t="s">
        <v>198</v>
      </c>
      <c r="P48">
        <v>3.2025999999999999</v>
      </c>
      <c r="Q48">
        <v>0</v>
      </c>
      <c r="R48" s="17">
        <v>40</v>
      </c>
      <c r="S48" s="17">
        <v>5499</v>
      </c>
      <c r="T48" t="s">
        <v>199</v>
      </c>
      <c r="U48" t="s">
        <v>200</v>
      </c>
      <c r="V48" s="2">
        <v>46108.197453703702</v>
      </c>
    </row>
    <row r="49" spans="1:43">
      <c r="A49" t="s">
        <v>0</v>
      </c>
      <c r="B49" t="s">
        <v>81</v>
      </c>
      <c r="C49">
        <v>0</v>
      </c>
      <c r="D49">
        <v>0</v>
      </c>
      <c r="E49">
        <v>10</v>
      </c>
      <c r="F49">
        <v>25</v>
      </c>
      <c r="G49">
        <v>27</v>
      </c>
      <c r="H49">
        <v>3</v>
      </c>
      <c r="I49">
        <v>200</v>
      </c>
      <c r="J49">
        <v>0</v>
      </c>
      <c r="K49" t="s">
        <v>1</v>
      </c>
      <c r="L49">
        <v>1202.3225</v>
      </c>
      <c r="M49" s="15">
        <v>3622.8786</v>
      </c>
      <c r="N49" s="16" t="s">
        <v>201</v>
      </c>
      <c r="O49" s="16" t="s">
        <v>202</v>
      </c>
      <c r="P49">
        <v>8.5396999999999998</v>
      </c>
      <c r="Q49">
        <v>0</v>
      </c>
      <c r="R49" s="17">
        <v>727</v>
      </c>
      <c r="S49" s="17">
        <v>6333</v>
      </c>
      <c r="T49" t="s">
        <v>203</v>
      </c>
      <c r="U49" t="s">
        <v>204</v>
      </c>
      <c r="V49" s="2">
        <v>46108.253298611111</v>
      </c>
    </row>
    <row r="50" spans="1:43">
      <c r="A50" t="s">
        <v>0</v>
      </c>
      <c r="B50" t="s">
        <v>82</v>
      </c>
      <c r="C50">
        <v>0</v>
      </c>
      <c r="D50">
        <v>0</v>
      </c>
      <c r="E50">
        <v>10</v>
      </c>
      <c r="F50">
        <v>25</v>
      </c>
      <c r="G50">
        <v>27</v>
      </c>
      <c r="H50">
        <v>3</v>
      </c>
      <c r="I50">
        <v>200</v>
      </c>
      <c r="J50">
        <v>0</v>
      </c>
      <c r="K50" t="s">
        <v>1</v>
      </c>
      <c r="L50">
        <v>326.66539999999998</v>
      </c>
      <c r="M50" s="15">
        <v>3600.2022000000002</v>
      </c>
      <c r="N50" s="16" t="s">
        <v>191</v>
      </c>
      <c r="O50" s="16" t="s">
        <v>205</v>
      </c>
      <c r="P50">
        <v>4.8151000000000002</v>
      </c>
      <c r="Q50">
        <v>0</v>
      </c>
      <c r="R50" s="17">
        <v>252</v>
      </c>
      <c r="S50" s="17">
        <v>4818</v>
      </c>
      <c r="T50" t="s">
        <v>83</v>
      </c>
      <c r="U50" t="s">
        <v>206</v>
      </c>
      <c r="V50" s="2">
        <v>46108.298750000002</v>
      </c>
    </row>
    <row r="51" spans="1:43">
      <c r="A51" t="s">
        <v>0</v>
      </c>
      <c r="B51" t="s">
        <v>85</v>
      </c>
      <c r="C51">
        <v>0</v>
      </c>
      <c r="D51">
        <v>0</v>
      </c>
      <c r="E51">
        <v>10</v>
      </c>
      <c r="F51">
        <v>25</v>
      </c>
      <c r="G51">
        <v>27</v>
      </c>
      <c r="H51">
        <v>3</v>
      </c>
      <c r="I51">
        <v>200</v>
      </c>
      <c r="J51">
        <v>0</v>
      </c>
      <c r="K51" t="s">
        <v>1</v>
      </c>
      <c r="L51">
        <v>1202.2047</v>
      </c>
      <c r="M51" s="15">
        <v>3616.8991000000001</v>
      </c>
      <c r="N51" s="16" t="s">
        <v>207</v>
      </c>
      <c r="O51" s="16" t="s">
        <v>208</v>
      </c>
      <c r="P51">
        <v>4.4718999999999998</v>
      </c>
      <c r="Q51">
        <v>0</v>
      </c>
      <c r="R51" s="17">
        <v>51</v>
      </c>
      <c r="S51" s="17">
        <v>1425</v>
      </c>
      <c r="T51" t="s">
        <v>86</v>
      </c>
      <c r="U51" t="s">
        <v>209</v>
      </c>
      <c r="V51" s="2">
        <v>46108.354525462964</v>
      </c>
      <c r="Y51" s="33" t="s">
        <v>154</v>
      </c>
      <c r="Z51" s="33"/>
      <c r="AA51" s="33"/>
      <c r="AB51" s="33"/>
      <c r="AC51" s="33"/>
      <c r="AD51" s="33"/>
      <c r="AE51" s="33"/>
      <c r="AF51" s="33"/>
      <c r="AG51" s="33"/>
      <c r="AI51" s="33" t="s">
        <v>347</v>
      </c>
      <c r="AJ51" s="33"/>
      <c r="AK51" s="33"/>
      <c r="AL51" s="33"/>
      <c r="AM51" s="33"/>
      <c r="AN51" s="33"/>
      <c r="AO51" s="33"/>
      <c r="AP51" s="33"/>
      <c r="AQ51" s="33"/>
    </row>
    <row r="52" spans="1:43">
      <c r="A52" t="s">
        <v>0</v>
      </c>
      <c r="B52" t="s">
        <v>88</v>
      </c>
      <c r="C52">
        <v>0</v>
      </c>
      <c r="D52">
        <v>0</v>
      </c>
      <c r="E52">
        <v>10</v>
      </c>
      <c r="F52">
        <v>25</v>
      </c>
      <c r="G52">
        <v>27</v>
      </c>
      <c r="H52">
        <v>3</v>
      </c>
      <c r="I52">
        <v>200</v>
      </c>
      <c r="J52">
        <v>0</v>
      </c>
      <c r="K52" t="s">
        <v>1</v>
      </c>
      <c r="L52">
        <v>1203.0579</v>
      </c>
      <c r="M52" s="15">
        <v>3632.0882999999999</v>
      </c>
      <c r="N52" s="16" t="s">
        <v>210</v>
      </c>
      <c r="O52" s="16" t="s">
        <v>211</v>
      </c>
      <c r="P52">
        <v>0.78559999999999997</v>
      </c>
      <c r="Q52">
        <v>0</v>
      </c>
      <c r="R52" s="17">
        <v>59</v>
      </c>
      <c r="S52" s="17">
        <v>2862</v>
      </c>
      <c r="T52" t="s">
        <v>89</v>
      </c>
      <c r="U52" t="s">
        <v>212</v>
      </c>
      <c r="V52" s="2">
        <v>46108.410486111112</v>
      </c>
      <c r="Y52" t="s">
        <v>94</v>
      </c>
      <c r="Z52" t="s">
        <v>95</v>
      </c>
      <c r="AA52" t="s">
        <v>96</v>
      </c>
      <c r="AB52" t="s">
        <v>97</v>
      </c>
      <c r="AC52" t="s">
        <v>98</v>
      </c>
      <c r="AD52" t="s">
        <v>99</v>
      </c>
      <c r="AE52" t="s">
        <v>100</v>
      </c>
      <c r="AF52" t="s">
        <v>101</v>
      </c>
      <c r="AG52" t="s">
        <v>102</v>
      </c>
      <c r="AI52" t="s">
        <v>94</v>
      </c>
      <c r="AJ52" t="s">
        <v>95</v>
      </c>
      <c r="AK52" t="s">
        <v>96</v>
      </c>
      <c r="AL52" t="s">
        <v>97</v>
      </c>
      <c r="AM52" t="s">
        <v>98</v>
      </c>
      <c r="AN52" t="s">
        <v>99</v>
      </c>
      <c r="AO52" t="s">
        <v>100</v>
      </c>
      <c r="AP52" t="s">
        <v>101</v>
      </c>
      <c r="AQ52" t="s">
        <v>102</v>
      </c>
    </row>
    <row r="53" spans="1:43">
      <c r="A53" t="s">
        <v>0</v>
      </c>
      <c r="B53" t="s">
        <v>91</v>
      </c>
      <c r="C53">
        <v>0</v>
      </c>
      <c r="D53">
        <v>0</v>
      </c>
      <c r="E53">
        <v>10</v>
      </c>
      <c r="F53">
        <v>25</v>
      </c>
      <c r="G53">
        <v>27</v>
      </c>
      <c r="H53">
        <v>3</v>
      </c>
      <c r="I53">
        <v>200</v>
      </c>
      <c r="J53">
        <v>0</v>
      </c>
      <c r="K53" t="s">
        <v>1</v>
      </c>
      <c r="L53">
        <v>1202.6677</v>
      </c>
      <c r="M53" s="15">
        <v>3738.8139999999999</v>
      </c>
      <c r="N53" s="16" t="s">
        <v>213</v>
      </c>
      <c r="O53" s="16" t="s">
        <v>213</v>
      </c>
      <c r="P53">
        <v>0</v>
      </c>
      <c r="Q53">
        <v>1</v>
      </c>
      <c r="R53" s="17">
        <v>136</v>
      </c>
      <c r="S53" s="17">
        <v>2850</v>
      </c>
      <c r="T53" t="s">
        <v>92</v>
      </c>
      <c r="U53" t="s">
        <v>214</v>
      </c>
      <c r="V53" s="2">
        <v>46108.467685185184</v>
      </c>
      <c r="Y53" t="s">
        <v>103</v>
      </c>
      <c r="Z53">
        <v>25</v>
      </c>
      <c r="AA53">
        <v>227</v>
      </c>
      <c r="AB53">
        <v>617.1</v>
      </c>
      <c r="AC53">
        <v>617.1</v>
      </c>
      <c r="AD53">
        <v>8</v>
      </c>
      <c r="AE53">
        <v>1</v>
      </c>
      <c r="AF53">
        <v>78</v>
      </c>
      <c r="AG53">
        <v>5.8</v>
      </c>
      <c r="AI53" t="s">
        <v>103</v>
      </c>
      <c r="AJ53">
        <v>25</v>
      </c>
      <c r="AL53">
        <v>191.3</v>
      </c>
      <c r="AM53">
        <f>(O20-AC53)/AC53</f>
        <v>1.993031923513093E-3</v>
      </c>
      <c r="AN53">
        <v>3</v>
      </c>
      <c r="AO53">
        <v>1</v>
      </c>
      <c r="AP53">
        <f>S53/AF53</f>
        <v>36.53846153846154</v>
      </c>
      <c r="AQ53">
        <f>M53/AG53</f>
        <v>644.62310344827586</v>
      </c>
    </row>
    <row r="54" spans="1:43">
      <c r="Y54" t="s">
        <v>104</v>
      </c>
      <c r="Z54">
        <v>25</v>
      </c>
      <c r="AA54">
        <v>404</v>
      </c>
      <c r="AB54">
        <v>546.4</v>
      </c>
      <c r="AC54">
        <v>547.1</v>
      </c>
      <c r="AD54">
        <v>7</v>
      </c>
      <c r="AE54">
        <v>3</v>
      </c>
      <c r="AF54">
        <v>165</v>
      </c>
      <c r="AG54">
        <v>20.3</v>
      </c>
      <c r="AI54" t="s">
        <v>104</v>
      </c>
      <c r="AJ54">
        <v>25</v>
      </c>
      <c r="AL54">
        <v>190.3</v>
      </c>
      <c r="AM54">
        <f t="shared" ref="AM54:AM64" si="7">(O21-AC54)/AC54</f>
        <v>1.8420764028513519E-3</v>
      </c>
      <c r="AN54">
        <v>3</v>
      </c>
      <c r="AO54">
        <v>1</v>
      </c>
      <c r="AP54">
        <f t="shared" ref="AP54:AP64" si="8">S54/AF54</f>
        <v>0</v>
      </c>
      <c r="AQ54">
        <f t="shared" ref="AQ54:AQ64" si="9">M54/AG54</f>
        <v>0</v>
      </c>
    </row>
    <row r="55" spans="1:43">
      <c r="Y55" t="s">
        <v>105</v>
      </c>
      <c r="Z55">
        <v>25</v>
      </c>
      <c r="AA55">
        <v>510</v>
      </c>
      <c r="AB55">
        <v>454.6</v>
      </c>
      <c r="AC55">
        <v>454.6</v>
      </c>
      <c r="AD55">
        <v>5</v>
      </c>
      <c r="AE55">
        <v>1</v>
      </c>
      <c r="AF55">
        <v>246</v>
      </c>
      <c r="AG55">
        <v>22.2</v>
      </c>
      <c r="AI55" t="s">
        <v>105</v>
      </c>
      <c r="AJ55">
        <v>25</v>
      </c>
      <c r="AL55">
        <v>190.3</v>
      </c>
      <c r="AM55">
        <f t="shared" si="7"/>
        <v>2.4157501099867202E-3</v>
      </c>
      <c r="AN55">
        <v>3</v>
      </c>
      <c r="AO55">
        <v>1</v>
      </c>
      <c r="AP55">
        <f t="shared" si="8"/>
        <v>0</v>
      </c>
      <c r="AQ55">
        <f t="shared" si="9"/>
        <v>0</v>
      </c>
    </row>
    <row r="56" spans="1:43">
      <c r="A56" t="s">
        <v>224</v>
      </c>
      <c r="Y56" t="s">
        <v>106</v>
      </c>
      <c r="Z56">
        <v>25</v>
      </c>
      <c r="AA56">
        <v>559</v>
      </c>
      <c r="AB56">
        <v>416.9</v>
      </c>
      <c r="AC56">
        <v>416.9</v>
      </c>
      <c r="AD56">
        <v>4</v>
      </c>
      <c r="AE56">
        <v>1</v>
      </c>
      <c r="AF56">
        <v>419</v>
      </c>
      <c r="AG56">
        <v>46</v>
      </c>
      <c r="AI56" t="s">
        <v>106</v>
      </c>
      <c r="AJ56">
        <v>25</v>
      </c>
      <c r="AL56">
        <v>186.9</v>
      </c>
      <c r="AM56">
        <f t="shared" si="7"/>
        <v>2.5454545454546467E-3</v>
      </c>
      <c r="AN56">
        <v>3</v>
      </c>
      <c r="AO56">
        <v>1</v>
      </c>
      <c r="AP56">
        <f t="shared" si="8"/>
        <v>0</v>
      </c>
      <c r="AQ56">
        <f t="shared" si="9"/>
        <v>0</v>
      </c>
    </row>
    <row r="57" spans="1:43">
      <c r="A57" s="1" t="s">
        <v>0</v>
      </c>
      <c r="B57" t="s">
        <v>215</v>
      </c>
      <c r="C57">
        <v>0</v>
      </c>
      <c r="D57">
        <v>0</v>
      </c>
      <c r="E57">
        <v>10</v>
      </c>
      <c r="F57">
        <v>25</v>
      </c>
      <c r="G57">
        <v>27</v>
      </c>
      <c r="H57">
        <v>3</v>
      </c>
      <c r="I57">
        <v>200</v>
      </c>
      <c r="J57">
        <v>0</v>
      </c>
      <c r="K57" t="s">
        <v>1</v>
      </c>
      <c r="L57">
        <v>0.27029999999999998</v>
      </c>
      <c r="M57">
        <v>234.27850000000001</v>
      </c>
      <c r="N57">
        <v>191.3</v>
      </c>
      <c r="O57">
        <v>191.3</v>
      </c>
      <c r="P57">
        <v>0</v>
      </c>
      <c r="Q57">
        <v>1</v>
      </c>
      <c r="R57">
        <v>1</v>
      </c>
      <c r="S57">
        <v>1284</v>
      </c>
      <c r="T57" t="s">
        <v>135</v>
      </c>
      <c r="U57" t="s">
        <v>146</v>
      </c>
      <c r="V57" s="2">
        <v>46117.389363425929</v>
      </c>
      <c r="Y57" t="s">
        <v>107</v>
      </c>
      <c r="Z57">
        <v>25</v>
      </c>
      <c r="AA57">
        <v>303</v>
      </c>
      <c r="AB57">
        <v>526</v>
      </c>
      <c r="AC57">
        <v>530.5</v>
      </c>
      <c r="AD57">
        <v>6</v>
      </c>
      <c r="AE57">
        <v>7</v>
      </c>
      <c r="AF57">
        <v>554</v>
      </c>
      <c r="AG57">
        <v>22.6</v>
      </c>
      <c r="AI57" t="s">
        <v>107</v>
      </c>
      <c r="AJ57">
        <v>25</v>
      </c>
      <c r="AL57">
        <v>191.3</v>
      </c>
      <c r="AM57">
        <f t="shared" si="7"/>
        <v>1.9577756833175758E-3</v>
      </c>
      <c r="AN57">
        <v>3</v>
      </c>
      <c r="AO57">
        <v>1</v>
      </c>
      <c r="AP57">
        <f t="shared" si="8"/>
        <v>2.3176895306859207</v>
      </c>
      <c r="AQ57">
        <f t="shared" si="9"/>
        <v>10.366305309734512</v>
      </c>
    </row>
    <row r="58" spans="1:43">
      <c r="A58" s="1" t="s">
        <v>0</v>
      </c>
      <c r="B58" t="s">
        <v>216</v>
      </c>
      <c r="C58">
        <v>0</v>
      </c>
      <c r="D58">
        <v>0</v>
      </c>
      <c r="E58">
        <v>10</v>
      </c>
      <c r="F58">
        <v>25</v>
      </c>
      <c r="G58">
        <v>27</v>
      </c>
      <c r="H58">
        <v>3</v>
      </c>
      <c r="I58">
        <v>200</v>
      </c>
      <c r="J58">
        <v>0</v>
      </c>
      <c r="K58" t="s">
        <v>1</v>
      </c>
      <c r="L58">
        <v>27.145600000000002</v>
      </c>
      <c r="M58">
        <v>687.81100000000004</v>
      </c>
      <c r="N58">
        <v>190.3</v>
      </c>
      <c r="O58">
        <v>190.3</v>
      </c>
      <c r="P58">
        <v>0</v>
      </c>
      <c r="Q58">
        <v>1</v>
      </c>
      <c r="R58">
        <v>1</v>
      </c>
      <c r="S58">
        <v>2562</v>
      </c>
      <c r="T58" t="s">
        <v>139</v>
      </c>
      <c r="U58" t="s">
        <v>141</v>
      </c>
      <c r="V58" s="2">
        <v>46117.397638888891</v>
      </c>
      <c r="Y58" t="s">
        <v>108</v>
      </c>
      <c r="Z58">
        <v>25</v>
      </c>
      <c r="AA58">
        <v>458</v>
      </c>
      <c r="AB58">
        <v>457.3</v>
      </c>
      <c r="AC58">
        <v>467.4</v>
      </c>
      <c r="AD58">
        <v>5</v>
      </c>
      <c r="AE58">
        <v>15</v>
      </c>
      <c r="AF58">
        <v>2451</v>
      </c>
      <c r="AG58">
        <v>205.2</v>
      </c>
      <c r="AI58" t="s">
        <v>108</v>
      </c>
      <c r="AJ58">
        <v>25</v>
      </c>
      <c r="AL58">
        <v>191.3</v>
      </c>
      <c r="AM58">
        <f t="shared" si="7"/>
        <v>-1.9679075738124785E-3</v>
      </c>
      <c r="AN58">
        <v>3</v>
      </c>
      <c r="AO58">
        <v>1</v>
      </c>
      <c r="AP58">
        <f t="shared" si="8"/>
        <v>1.0452876376988984</v>
      </c>
      <c r="AQ58">
        <f t="shared" si="9"/>
        <v>3.3519054580896688</v>
      </c>
    </row>
    <row r="59" spans="1:43">
      <c r="A59" s="1" t="s">
        <v>0</v>
      </c>
      <c r="B59" t="s">
        <v>217</v>
      </c>
      <c r="C59">
        <v>0</v>
      </c>
      <c r="D59">
        <v>0</v>
      </c>
      <c r="E59">
        <v>10</v>
      </c>
      <c r="F59">
        <v>25</v>
      </c>
      <c r="G59">
        <v>27</v>
      </c>
      <c r="H59">
        <v>3</v>
      </c>
      <c r="I59">
        <v>200</v>
      </c>
      <c r="J59">
        <v>0</v>
      </c>
      <c r="K59" t="s">
        <v>1</v>
      </c>
      <c r="L59">
        <v>601.25609999999995</v>
      </c>
      <c r="M59">
        <v>3292.6817999999998</v>
      </c>
      <c r="N59">
        <v>190.3</v>
      </c>
      <c r="O59">
        <v>190.3</v>
      </c>
      <c r="P59">
        <v>0</v>
      </c>
      <c r="Q59">
        <v>1</v>
      </c>
      <c r="R59">
        <v>1</v>
      </c>
      <c r="S59">
        <v>2550</v>
      </c>
      <c r="T59" t="s">
        <v>141</v>
      </c>
      <c r="U59" t="s">
        <v>139</v>
      </c>
      <c r="V59" s="2">
        <v>46117.442708333336</v>
      </c>
      <c r="Y59" t="s">
        <v>109</v>
      </c>
      <c r="Z59">
        <v>25</v>
      </c>
      <c r="AA59">
        <v>542</v>
      </c>
      <c r="AB59">
        <v>423</v>
      </c>
      <c r="AC59">
        <v>424.3</v>
      </c>
      <c r="AD59">
        <v>4</v>
      </c>
      <c r="AE59">
        <v>21</v>
      </c>
      <c r="AF59">
        <v>3191</v>
      </c>
      <c r="AG59">
        <v>304.10000000000002</v>
      </c>
      <c r="AI59" t="s">
        <v>109</v>
      </c>
      <c r="AJ59">
        <v>25</v>
      </c>
      <c r="AL59">
        <v>191.3</v>
      </c>
      <c r="AM59">
        <f t="shared" si="7"/>
        <v>2.2825830780108551E-3</v>
      </c>
      <c r="AN59">
        <v>3</v>
      </c>
      <c r="AO59">
        <v>1</v>
      </c>
      <c r="AP59">
        <f t="shared" si="8"/>
        <v>0.79912253212159201</v>
      </c>
      <c r="AQ59">
        <f t="shared" si="9"/>
        <v>10.827628411706675</v>
      </c>
    </row>
    <row r="60" spans="1:43">
      <c r="A60" s="1" t="s">
        <v>0</v>
      </c>
      <c r="B60" t="s">
        <v>218</v>
      </c>
      <c r="C60">
        <v>0</v>
      </c>
      <c r="D60">
        <v>0</v>
      </c>
      <c r="E60">
        <v>10</v>
      </c>
      <c r="F60">
        <v>25</v>
      </c>
      <c r="G60">
        <v>27</v>
      </c>
      <c r="H60">
        <v>3</v>
      </c>
      <c r="I60">
        <v>200</v>
      </c>
      <c r="J60">
        <v>0</v>
      </c>
      <c r="K60" t="s">
        <v>1</v>
      </c>
      <c r="L60">
        <v>325.13130000000001</v>
      </c>
      <c r="M60">
        <v>1082.2246</v>
      </c>
      <c r="N60">
        <v>186.9</v>
      </c>
      <c r="O60">
        <v>186.9</v>
      </c>
      <c r="P60">
        <v>0</v>
      </c>
      <c r="Q60">
        <v>1</v>
      </c>
      <c r="R60">
        <v>1</v>
      </c>
      <c r="S60">
        <v>2535</v>
      </c>
      <c r="T60" t="s">
        <v>143</v>
      </c>
      <c r="U60" t="s">
        <v>219</v>
      </c>
      <c r="V60" s="2">
        <v>46117.458993055552</v>
      </c>
      <c r="Y60" t="s">
        <v>110</v>
      </c>
      <c r="Z60">
        <v>25</v>
      </c>
      <c r="AA60">
        <v>586</v>
      </c>
      <c r="AB60">
        <v>396.2</v>
      </c>
      <c r="AC60">
        <v>397.2</v>
      </c>
      <c r="AD60">
        <v>4</v>
      </c>
      <c r="AE60">
        <v>3</v>
      </c>
      <c r="AF60">
        <v>1041</v>
      </c>
      <c r="AG60">
        <v>307.39999999999998</v>
      </c>
      <c r="AI60" t="s">
        <v>110</v>
      </c>
      <c r="AJ60">
        <v>25</v>
      </c>
      <c r="AL60">
        <v>191.3</v>
      </c>
      <c r="AM60">
        <f t="shared" si="7"/>
        <v>2.7560422960724797E-3</v>
      </c>
      <c r="AN60">
        <v>3</v>
      </c>
      <c r="AO60">
        <v>1</v>
      </c>
      <c r="AP60">
        <f t="shared" si="8"/>
        <v>2.4351585014409221</v>
      </c>
      <c r="AQ60">
        <f t="shared" si="9"/>
        <v>3.5205744957709828</v>
      </c>
    </row>
    <row r="61" spans="1:43">
      <c r="A61" s="1" t="s">
        <v>0</v>
      </c>
      <c r="B61" t="s">
        <v>220</v>
      </c>
      <c r="C61">
        <v>0</v>
      </c>
      <c r="D61">
        <v>0</v>
      </c>
      <c r="E61">
        <v>10</v>
      </c>
      <c r="F61">
        <v>25</v>
      </c>
      <c r="G61">
        <v>27</v>
      </c>
      <c r="H61">
        <v>3</v>
      </c>
      <c r="I61">
        <v>200</v>
      </c>
      <c r="J61">
        <v>0</v>
      </c>
      <c r="K61" t="s">
        <v>1</v>
      </c>
      <c r="L61">
        <v>0.5444</v>
      </c>
      <c r="M61">
        <v>760.7758</v>
      </c>
      <c r="N61">
        <v>191.3</v>
      </c>
      <c r="O61">
        <v>191.3</v>
      </c>
      <c r="P61">
        <v>0</v>
      </c>
      <c r="Q61">
        <v>1</v>
      </c>
      <c r="R61">
        <v>1</v>
      </c>
      <c r="S61">
        <v>2355</v>
      </c>
      <c r="T61" t="s">
        <v>146</v>
      </c>
      <c r="U61" t="s">
        <v>147</v>
      </c>
      <c r="V61" s="2">
        <v>46117.467812499999</v>
      </c>
      <c r="Y61" t="s">
        <v>111</v>
      </c>
      <c r="Z61">
        <v>25</v>
      </c>
      <c r="AA61">
        <v>411</v>
      </c>
      <c r="AB61">
        <v>441.3</v>
      </c>
      <c r="AC61">
        <v>441.3</v>
      </c>
      <c r="AD61">
        <v>5</v>
      </c>
      <c r="AE61">
        <v>1</v>
      </c>
      <c r="AF61">
        <v>207</v>
      </c>
      <c r="AG61">
        <v>14.4</v>
      </c>
      <c r="AI61" t="s">
        <v>111</v>
      </c>
      <c r="AJ61">
        <v>25</v>
      </c>
      <c r="AL61">
        <v>189.4</v>
      </c>
      <c r="AM61">
        <f t="shared" si="7"/>
        <v>3.0029458418309434E-3</v>
      </c>
      <c r="AN61">
        <v>3</v>
      </c>
      <c r="AO61">
        <v>3</v>
      </c>
      <c r="AP61">
        <f t="shared" si="8"/>
        <v>11.376811594202898</v>
      </c>
      <c r="AQ61">
        <f t="shared" si="9"/>
        <v>52.831652777777776</v>
      </c>
    </row>
    <row r="62" spans="1:43">
      <c r="A62" s="1" t="s">
        <v>0</v>
      </c>
      <c r="B62" t="s">
        <v>221</v>
      </c>
      <c r="C62">
        <v>0</v>
      </c>
      <c r="D62">
        <v>0</v>
      </c>
      <c r="E62">
        <v>10</v>
      </c>
      <c r="F62">
        <v>25</v>
      </c>
      <c r="G62">
        <v>27</v>
      </c>
      <c r="H62">
        <v>3</v>
      </c>
      <c r="I62">
        <v>200</v>
      </c>
      <c r="J62">
        <v>0</v>
      </c>
      <c r="K62" t="s">
        <v>1</v>
      </c>
      <c r="L62">
        <v>0.27689999999999998</v>
      </c>
      <c r="M62">
        <v>181.34350000000001</v>
      </c>
      <c r="N62">
        <v>191.3</v>
      </c>
      <c r="O62">
        <v>191.3</v>
      </c>
      <c r="P62">
        <v>0</v>
      </c>
      <c r="Q62">
        <v>1</v>
      </c>
      <c r="R62">
        <v>1</v>
      </c>
      <c r="S62">
        <v>1236</v>
      </c>
      <c r="T62" t="s">
        <v>149</v>
      </c>
      <c r="U62" t="s">
        <v>147</v>
      </c>
      <c r="V62" s="2">
        <v>46117.469907407409</v>
      </c>
      <c r="Y62" t="s">
        <v>112</v>
      </c>
      <c r="Z62">
        <v>25</v>
      </c>
      <c r="AA62">
        <v>530</v>
      </c>
      <c r="AB62">
        <v>425.4</v>
      </c>
      <c r="AC62">
        <v>429.5</v>
      </c>
      <c r="AD62">
        <v>4</v>
      </c>
      <c r="AE62">
        <v>5</v>
      </c>
      <c r="AF62">
        <v>655</v>
      </c>
      <c r="AG62">
        <v>64.3</v>
      </c>
      <c r="AI62" t="s">
        <v>112</v>
      </c>
      <c r="AJ62">
        <v>25</v>
      </c>
      <c r="AM62">
        <f t="shared" si="7"/>
        <v>3.8119208381839395E-2</v>
      </c>
      <c r="AP62">
        <f t="shared" si="8"/>
        <v>1.8870229007633588</v>
      </c>
      <c r="AQ62">
        <f t="shared" si="9"/>
        <v>2.8202721617418351</v>
      </c>
    </row>
    <row r="63" spans="1:43">
      <c r="A63" s="1" t="s">
        <v>0</v>
      </c>
      <c r="B63" t="s">
        <v>222</v>
      </c>
      <c r="C63">
        <v>0</v>
      </c>
      <c r="D63">
        <v>0</v>
      </c>
      <c r="E63">
        <v>10</v>
      </c>
      <c r="F63">
        <v>25</v>
      </c>
      <c r="G63">
        <v>27</v>
      </c>
      <c r="H63">
        <v>3</v>
      </c>
      <c r="I63">
        <v>200</v>
      </c>
      <c r="J63">
        <v>0</v>
      </c>
      <c r="K63" t="s">
        <v>1</v>
      </c>
      <c r="L63">
        <v>0.50560000000000005</v>
      </c>
      <c r="M63">
        <v>1106.9341999999999</v>
      </c>
      <c r="N63">
        <v>191.3</v>
      </c>
      <c r="O63">
        <v>191.3</v>
      </c>
      <c r="P63">
        <v>0</v>
      </c>
      <c r="Q63">
        <v>1</v>
      </c>
      <c r="R63">
        <v>1</v>
      </c>
      <c r="S63">
        <v>2922</v>
      </c>
      <c r="T63" t="s">
        <v>149</v>
      </c>
      <c r="U63" t="s">
        <v>135</v>
      </c>
      <c r="V63" s="2">
        <v>46117.482731481483</v>
      </c>
      <c r="Y63" t="s">
        <v>113</v>
      </c>
      <c r="Z63">
        <v>25</v>
      </c>
      <c r="AA63">
        <v>526</v>
      </c>
      <c r="AB63">
        <v>423.5</v>
      </c>
      <c r="AC63">
        <v>428.8</v>
      </c>
      <c r="AD63">
        <v>4</v>
      </c>
      <c r="AE63">
        <v>15</v>
      </c>
      <c r="AF63">
        <v>2794</v>
      </c>
      <c r="AG63">
        <v>330</v>
      </c>
      <c r="AI63" t="s">
        <v>113</v>
      </c>
      <c r="AJ63">
        <v>25</v>
      </c>
      <c r="AM63">
        <f t="shared" si="7"/>
        <v>2.0914179104477254E-3</v>
      </c>
      <c r="AP63">
        <f t="shared" si="8"/>
        <v>1.0458124552612742</v>
      </c>
      <c r="AQ63">
        <f t="shared" si="9"/>
        <v>3.3543460606060602</v>
      </c>
    </row>
    <row r="64" spans="1:43">
      <c r="A64" s="1" t="s">
        <v>0</v>
      </c>
      <c r="B64" t="s">
        <v>223</v>
      </c>
      <c r="C64">
        <v>0</v>
      </c>
      <c r="D64">
        <v>0</v>
      </c>
      <c r="E64">
        <v>10</v>
      </c>
      <c r="F64">
        <v>25</v>
      </c>
      <c r="G64">
        <v>27</v>
      </c>
      <c r="H64">
        <v>3</v>
      </c>
      <c r="I64">
        <v>200</v>
      </c>
      <c r="J64">
        <v>0</v>
      </c>
      <c r="K64" t="s">
        <v>1</v>
      </c>
      <c r="L64">
        <v>14.5905</v>
      </c>
      <c r="M64">
        <v>968.09159999999997</v>
      </c>
      <c r="N64">
        <v>191.3</v>
      </c>
      <c r="O64">
        <v>191.3</v>
      </c>
      <c r="P64">
        <v>0</v>
      </c>
      <c r="Q64">
        <v>1</v>
      </c>
      <c r="R64">
        <v>1</v>
      </c>
      <c r="S64">
        <v>2718</v>
      </c>
      <c r="T64" t="s">
        <v>146</v>
      </c>
      <c r="U64" t="s">
        <v>146</v>
      </c>
      <c r="V64" s="2">
        <v>46117.494097222225</v>
      </c>
      <c r="Y64" t="s">
        <v>114</v>
      </c>
      <c r="Z64">
        <v>25</v>
      </c>
      <c r="AA64">
        <v>647</v>
      </c>
      <c r="AB64">
        <v>383.9</v>
      </c>
      <c r="AC64">
        <v>393</v>
      </c>
      <c r="AD64">
        <v>4</v>
      </c>
      <c r="AE64">
        <v>21</v>
      </c>
      <c r="AF64">
        <v>2643</v>
      </c>
      <c r="AG64">
        <v>623.29999999999995</v>
      </c>
      <c r="AI64" t="s">
        <v>114</v>
      </c>
      <c r="AJ64">
        <v>25</v>
      </c>
      <c r="AM64">
        <f t="shared" si="7"/>
        <v>5.3203562340966319E-3</v>
      </c>
      <c r="AP64">
        <f t="shared" si="8"/>
        <v>1.0283768444948922</v>
      </c>
      <c r="AQ64">
        <f t="shared" si="9"/>
        <v>1.5531711856248998</v>
      </c>
    </row>
    <row r="65" spans="1:30">
      <c r="A65" s="1" t="s">
        <v>0</v>
      </c>
      <c r="B65" t="s">
        <v>68</v>
      </c>
      <c r="C65">
        <v>0</v>
      </c>
      <c r="D65">
        <v>0</v>
      </c>
      <c r="E65">
        <v>10</v>
      </c>
      <c r="F65">
        <v>25</v>
      </c>
      <c r="G65">
        <v>27</v>
      </c>
      <c r="H65">
        <v>3</v>
      </c>
      <c r="I65">
        <v>200</v>
      </c>
      <c r="J65">
        <v>0</v>
      </c>
      <c r="K65" t="s">
        <v>1</v>
      </c>
      <c r="L65">
        <v>600.46209999999996</v>
      </c>
      <c r="M65">
        <v>706.8116</v>
      </c>
      <c r="N65">
        <v>191.3</v>
      </c>
      <c r="O65">
        <v>191.3</v>
      </c>
      <c r="P65">
        <v>0</v>
      </c>
      <c r="Q65">
        <v>1</v>
      </c>
      <c r="R65">
        <v>1</v>
      </c>
      <c r="S65">
        <v>1518</v>
      </c>
      <c r="T65" t="s">
        <v>152</v>
      </c>
      <c r="U65" t="s">
        <v>135</v>
      </c>
      <c r="V65" s="2">
        <v>46117.509236111109</v>
      </c>
    </row>
    <row r="68" spans="1:30" ht="15" thickBot="1">
      <c r="A68" s="1" t="s">
        <v>227</v>
      </c>
      <c r="AA68" t="s">
        <v>348</v>
      </c>
      <c r="AD68" t="s">
        <v>348</v>
      </c>
    </row>
    <row r="69" spans="1:30">
      <c r="Y69" s="14" t="s">
        <v>60</v>
      </c>
      <c r="Z69" s="49">
        <v>618.32989999999995</v>
      </c>
      <c r="AA69" s="53" t="s">
        <v>156</v>
      </c>
      <c r="AC69" s="5">
        <v>83.838300000000004</v>
      </c>
      <c r="AD69" s="15">
        <v>25.3171</v>
      </c>
    </row>
    <row r="70" spans="1:30">
      <c r="A70" s="1" t="s">
        <v>0</v>
      </c>
      <c r="B70" t="s">
        <v>64</v>
      </c>
      <c r="C70">
        <v>0</v>
      </c>
      <c r="D70">
        <v>0</v>
      </c>
      <c r="E70">
        <v>10</v>
      </c>
      <c r="F70">
        <v>25</v>
      </c>
      <c r="G70">
        <v>27</v>
      </c>
      <c r="H70">
        <v>3</v>
      </c>
      <c r="I70">
        <v>200</v>
      </c>
      <c r="J70">
        <v>0</v>
      </c>
      <c r="K70" t="s">
        <v>1</v>
      </c>
      <c r="L70">
        <v>3.0007000000000001</v>
      </c>
      <c r="M70">
        <v>3605.002</v>
      </c>
      <c r="N70">
        <v>267.7</v>
      </c>
      <c r="O70">
        <v>290.10000000000002</v>
      </c>
      <c r="P70">
        <v>8.3675999999999995</v>
      </c>
      <c r="Q70">
        <v>0</v>
      </c>
      <c r="R70">
        <v>504</v>
      </c>
      <c r="S70">
        <v>2520</v>
      </c>
      <c r="T70" t="s">
        <v>228</v>
      </c>
      <c r="U70" t="s">
        <v>229</v>
      </c>
      <c r="V70" t="s">
        <v>230</v>
      </c>
      <c r="W70" s="2">
        <v>46117.875243055554</v>
      </c>
      <c r="Y70" t="s">
        <v>66</v>
      </c>
      <c r="Z70" s="50">
        <v>548.1078</v>
      </c>
      <c r="AA70" s="54" t="s">
        <v>158</v>
      </c>
      <c r="AC70" s="5">
        <v>3688.5971</v>
      </c>
      <c r="AD70" s="15">
        <v>1620.0409</v>
      </c>
    </row>
    <row r="71" spans="1:30" s="29" customFormat="1" ht="15" thickBot="1">
      <c r="A71" s="39" t="s">
        <v>0</v>
      </c>
      <c r="B71" s="40" t="s">
        <v>59</v>
      </c>
      <c r="C71" s="40">
        <v>0</v>
      </c>
      <c r="D71" s="40">
        <v>0</v>
      </c>
      <c r="E71" s="40">
        <v>10</v>
      </c>
      <c r="F71" s="40">
        <v>25</v>
      </c>
      <c r="G71" s="40">
        <v>27</v>
      </c>
      <c r="H71" s="40">
        <v>3</v>
      </c>
      <c r="I71" s="40">
        <v>200</v>
      </c>
      <c r="J71" s="40">
        <v>0</v>
      </c>
      <c r="K71" s="40" t="s">
        <v>1</v>
      </c>
      <c r="L71" s="40">
        <v>14.0547</v>
      </c>
      <c r="M71" s="40">
        <v>4305.5973000000004</v>
      </c>
      <c r="N71" s="40">
        <v>291.39999999999998</v>
      </c>
      <c r="O71" s="40">
        <v>315.89999999999998</v>
      </c>
      <c r="P71" s="40">
        <v>8.4077000000000002</v>
      </c>
      <c r="Q71" s="40">
        <v>0</v>
      </c>
      <c r="R71" s="40">
        <v>3</v>
      </c>
      <c r="S71" s="40">
        <v>2124</v>
      </c>
      <c r="T71" s="40" t="s">
        <v>231</v>
      </c>
      <c r="U71" s="40" t="s">
        <v>232</v>
      </c>
      <c r="V71" s="40" t="s">
        <v>233</v>
      </c>
      <c r="W71" s="41">
        <v>46118.514351851853</v>
      </c>
      <c r="Y71" t="s">
        <v>72</v>
      </c>
      <c r="Z71" s="51">
        <v>455.69819999999999</v>
      </c>
      <c r="AA71" s="54" t="s">
        <v>161</v>
      </c>
      <c r="AC71" s="8">
        <v>1528.8381999999999</v>
      </c>
      <c r="AD71" s="15">
        <v>185.24809999999999</v>
      </c>
    </row>
    <row r="72" spans="1:30">
      <c r="A72" s="1" t="s">
        <v>0</v>
      </c>
      <c r="B72" t="s">
        <v>70</v>
      </c>
      <c r="C72">
        <v>0</v>
      </c>
      <c r="D72">
        <v>0</v>
      </c>
      <c r="E72">
        <v>10</v>
      </c>
      <c r="F72">
        <v>25</v>
      </c>
      <c r="G72">
        <v>27</v>
      </c>
      <c r="H72">
        <v>3</v>
      </c>
      <c r="I72">
        <v>200</v>
      </c>
      <c r="J72">
        <v>0</v>
      </c>
      <c r="K72" t="s">
        <v>1</v>
      </c>
      <c r="L72">
        <v>6.8392999999999997</v>
      </c>
      <c r="M72">
        <v>3675.0828999999999</v>
      </c>
      <c r="N72">
        <v>302</v>
      </c>
      <c r="O72">
        <v>269</v>
      </c>
      <c r="P72">
        <v>-10.927199999999999</v>
      </c>
      <c r="Q72">
        <v>0</v>
      </c>
      <c r="R72">
        <v>60</v>
      </c>
      <c r="S72">
        <v>4725</v>
      </c>
      <c r="T72" t="s">
        <v>231</v>
      </c>
      <c r="U72" t="s">
        <v>235</v>
      </c>
      <c r="V72" t="s">
        <v>236</v>
      </c>
      <c r="W72" s="2">
        <v>46118.734444444446</v>
      </c>
      <c r="Y72" t="s">
        <v>73</v>
      </c>
      <c r="Z72" s="50">
        <v>417.96120000000002</v>
      </c>
      <c r="AA72" s="54" t="s">
        <v>165</v>
      </c>
      <c r="AC72" s="5">
        <v>848.95150000000001</v>
      </c>
      <c r="AD72" s="15">
        <v>162.71610000000001</v>
      </c>
    </row>
    <row r="73" spans="1:30" ht="15" thickBot="1">
      <c r="A73" s="42" t="s">
        <v>0</v>
      </c>
      <c r="B73" s="43" t="s">
        <v>81</v>
      </c>
      <c r="C73" s="43">
        <v>0</v>
      </c>
      <c r="D73" s="43">
        <v>0</v>
      </c>
      <c r="E73" s="43">
        <v>10</v>
      </c>
      <c r="F73" s="43">
        <v>25</v>
      </c>
      <c r="G73" s="43">
        <v>27</v>
      </c>
      <c r="H73" s="43">
        <v>3</v>
      </c>
      <c r="I73" s="43">
        <v>200</v>
      </c>
      <c r="J73" s="43">
        <v>0</v>
      </c>
      <c r="K73" s="43" t="s">
        <v>1</v>
      </c>
      <c r="L73" s="43">
        <v>60.286900000000003</v>
      </c>
      <c r="M73" s="43">
        <v>3885.1981000000001</v>
      </c>
      <c r="N73" s="43">
        <v>278.10000000000002</v>
      </c>
      <c r="O73" s="43">
        <v>277.7</v>
      </c>
      <c r="P73" s="43">
        <v>-0.14380000000000001</v>
      </c>
      <c r="Q73" s="43">
        <v>0</v>
      </c>
      <c r="R73" s="43">
        <v>3</v>
      </c>
      <c r="S73" s="43">
        <v>3858</v>
      </c>
      <c r="T73" s="43" t="s">
        <v>231</v>
      </c>
      <c r="U73" s="43" t="s">
        <v>237</v>
      </c>
      <c r="V73" s="43" t="s">
        <v>239</v>
      </c>
      <c r="W73" s="44">
        <v>46118.82199074074</v>
      </c>
      <c r="Y73" t="s">
        <v>74</v>
      </c>
      <c r="Z73" s="50">
        <v>531.53859999999997</v>
      </c>
      <c r="AA73" s="54" t="s">
        <v>168</v>
      </c>
      <c r="AC73" s="5">
        <v>267.18189999999998</v>
      </c>
      <c r="AD73" s="15">
        <v>45.564900000000002</v>
      </c>
    </row>
    <row r="74" spans="1:30">
      <c r="A74" s="1" t="s">
        <v>0</v>
      </c>
      <c r="B74" t="s">
        <v>82</v>
      </c>
      <c r="C74">
        <v>0</v>
      </c>
      <c r="D74">
        <v>0</v>
      </c>
      <c r="E74">
        <v>10</v>
      </c>
      <c r="F74">
        <v>25</v>
      </c>
      <c r="G74">
        <v>27</v>
      </c>
      <c r="H74">
        <v>3</v>
      </c>
      <c r="I74">
        <v>200</v>
      </c>
      <c r="J74">
        <v>0</v>
      </c>
      <c r="K74" t="s">
        <v>1</v>
      </c>
      <c r="L74">
        <v>60.237200000000001</v>
      </c>
      <c r="M74">
        <v>3653.6028999999999</v>
      </c>
      <c r="N74">
        <v>267.7</v>
      </c>
      <c r="O74">
        <v>272.7</v>
      </c>
      <c r="P74">
        <v>1.8677999999999999</v>
      </c>
      <c r="Q74">
        <v>0</v>
      </c>
      <c r="R74">
        <v>64</v>
      </c>
      <c r="S74">
        <v>4221</v>
      </c>
      <c r="T74" t="s">
        <v>231</v>
      </c>
      <c r="U74" t="s">
        <v>229</v>
      </c>
      <c r="V74" t="s">
        <v>241</v>
      </c>
      <c r="W74" s="2">
        <v>46118.907037037039</v>
      </c>
      <c r="Y74" t="s">
        <v>75</v>
      </c>
      <c r="Z74" s="50">
        <v>466.48020000000002</v>
      </c>
      <c r="AA74" s="54" t="s">
        <v>170</v>
      </c>
      <c r="AC74" s="5">
        <v>3642.4569000000001</v>
      </c>
      <c r="AD74" s="15">
        <v>896.23320000000001</v>
      </c>
    </row>
    <row r="75" spans="1:30" ht="15" thickBot="1">
      <c r="A75" s="42" t="s">
        <v>0</v>
      </c>
      <c r="B75" s="43" t="s">
        <v>85</v>
      </c>
      <c r="C75" s="43">
        <v>0</v>
      </c>
      <c r="D75" s="43">
        <v>0</v>
      </c>
      <c r="E75" s="43">
        <v>10</v>
      </c>
      <c r="F75" s="43">
        <v>25</v>
      </c>
      <c r="G75" s="43">
        <v>27</v>
      </c>
      <c r="H75" s="43">
        <v>3</v>
      </c>
      <c r="I75" s="43">
        <v>200</v>
      </c>
      <c r="J75" s="43">
        <v>0</v>
      </c>
      <c r="K75" s="43" t="s">
        <v>1</v>
      </c>
      <c r="L75" s="43">
        <v>60.887300000000003</v>
      </c>
      <c r="M75" s="43">
        <v>3855.4402</v>
      </c>
      <c r="N75" s="43">
        <v>265.7</v>
      </c>
      <c r="O75" s="43">
        <v>268.7</v>
      </c>
      <c r="P75" s="43">
        <v>1.1291</v>
      </c>
      <c r="Q75" s="43">
        <v>0</v>
      </c>
      <c r="R75" s="43">
        <v>13</v>
      </c>
      <c r="S75" s="43">
        <v>1785</v>
      </c>
      <c r="T75" s="43" t="s">
        <v>231</v>
      </c>
      <c r="U75" s="43" t="s">
        <v>242</v>
      </c>
      <c r="V75" s="43" t="s">
        <v>244</v>
      </c>
      <c r="W75" s="44">
        <v>46118.994745370372</v>
      </c>
      <c r="Y75" t="s">
        <v>76</v>
      </c>
      <c r="Z75" s="50">
        <v>425.26850000000002</v>
      </c>
      <c r="AA75" s="54" t="s">
        <v>173</v>
      </c>
      <c r="AC75" s="5">
        <v>1103.3267000000001</v>
      </c>
      <c r="AD75" s="15">
        <v>191.86699999999999</v>
      </c>
    </row>
    <row r="76" spans="1:30">
      <c r="A76" s="1" t="s">
        <v>0</v>
      </c>
      <c r="B76" t="s">
        <v>88</v>
      </c>
      <c r="C76">
        <v>0</v>
      </c>
      <c r="D76">
        <v>0</v>
      </c>
      <c r="E76">
        <v>10</v>
      </c>
      <c r="F76">
        <v>25</v>
      </c>
      <c r="G76">
        <v>27</v>
      </c>
      <c r="H76">
        <v>3</v>
      </c>
      <c r="I76">
        <v>200</v>
      </c>
      <c r="J76">
        <v>0</v>
      </c>
      <c r="K76" t="s">
        <v>1</v>
      </c>
      <c r="L76">
        <v>60.744100000000003</v>
      </c>
      <c r="M76">
        <v>3673.9272999999998</v>
      </c>
      <c r="N76">
        <v>264.7</v>
      </c>
      <c r="O76">
        <v>264.2</v>
      </c>
      <c r="P76">
        <v>-0.18890000000000001</v>
      </c>
      <c r="Q76">
        <v>0</v>
      </c>
      <c r="R76">
        <v>13</v>
      </c>
      <c r="S76">
        <v>3195</v>
      </c>
      <c r="T76" t="s">
        <v>231</v>
      </c>
      <c r="U76" t="s">
        <v>245</v>
      </c>
      <c r="V76" t="s">
        <v>247</v>
      </c>
      <c r="W76" s="2">
        <v>46119.081608796296</v>
      </c>
      <c r="X76" t="s">
        <v>344</v>
      </c>
      <c r="Y76" t="s">
        <v>77</v>
      </c>
      <c r="Z76" s="50">
        <v>398.29469999999998</v>
      </c>
      <c r="AA76" s="54" t="s">
        <v>176</v>
      </c>
      <c r="AC76" s="5">
        <v>3735.8645999999999</v>
      </c>
      <c r="AD76" s="15">
        <v>545.2921</v>
      </c>
    </row>
    <row r="77" spans="1:30">
      <c r="Y77" t="s">
        <v>78</v>
      </c>
      <c r="Z77" s="50">
        <v>442.62520000000001</v>
      </c>
      <c r="AA77" s="54" t="s">
        <v>179</v>
      </c>
      <c r="AC77" s="5">
        <v>792.71079999999995</v>
      </c>
      <c r="AD77" s="15">
        <v>64.655000000000001</v>
      </c>
    </row>
    <row r="78" spans="1:30">
      <c r="Y78" t="s">
        <v>79</v>
      </c>
      <c r="Z78" s="50">
        <v>445.87220000000002</v>
      </c>
      <c r="AA78" s="54" t="s">
        <v>182</v>
      </c>
      <c r="AC78" s="5">
        <v>4107.8910999999998</v>
      </c>
      <c r="AD78" s="15">
        <v>1085.3520000000001</v>
      </c>
    </row>
    <row r="79" spans="1:30">
      <c r="Y79" t="s">
        <v>80</v>
      </c>
      <c r="Z79" s="50">
        <v>429.6968</v>
      </c>
      <c r="AA79" s="54" t="s">
        <v>185</v>
      </c>
      <c r="AC79" s="5">
        <v>2720.2743999999998</v>
      </c>
      <c r="AD79" s="15">
        <v>313.93610000000001</v>
      </c>
    </row>
    <row r="80" spans="1:30" ht="15" thickBot="1">
      <c r="Y80" t="s">
        <v>71</v>
      </c>
      <c r="Z80" s="52">
        <v>395.09089999999998</v>
      </c>
      <c r="AA80" s="55" t="s">
        <v>189</v>
      </c>
      <c r="AC80" s="5">
        <v>3610.0805999999998</v>
      </c>
      <c r="AD80" s="24">
        <v>3346.43</v>
      </c>
    </row>
    <row r="84" spans="1:9">
      <c r="A84" t="s">
        <v>248</v>
      </c>
      <c r="B84" t="s">
        <v>249</v>
      </c>
      <c r="C84" t="s">
        <v>250</v>
      </c>
      <c r="D84" t="s">
        <v>251</v>
      </c>
      <c r="E84" t="s">
        <v>252</v>
      </c>
      <c r="F84" t="s">
        <v>253</v>
      </c>
      <c r="G84" t="s">
        <v>254</v>
      </c>
      <c r="H84" t="s">
        <v>255</v>
      </c>
      <c r="I84" t="s">
        <v>256</v>
      </c>
    </row>
    <row r="85" spans="1:9">
      <c r="A85" t="s">
        <v>257</v>
      </c>
      <c r="B85">
        <v>290.10000000000002</v>
      </c>
      <c r="C85">
        <v>290.10000000000002</v>
      </c>
      <c r="D85">
        <v>3605.002</v>
      </c>
      <c r="E85">
        <v>3637.509</v>
      </c>
      <c r="F85">
        <v>8.3675999999999995</v>
      </c>
      <c r="G85">
        <v>-3.6315</v>
      </c>
      <c r="H85">
        <f>(B85-C85)/B85</f>
        <v>0</v>
      </c>
      <c r="I85">
        <f>(E85-D85)/D85</f>
        <v>9.0171933330411638E-3</v>
      </c>
    </row>
    <row r="86" spans="1:9">
      <c r="A86" t="s">
        <v>258</v>
      </c>
      <c r="B86">
        <v>321.10000000000002</v>
      </c>
      <c r="C86">
        <v>280</v>
      </c>
      <c r="D86">
        <v>3637.509</v>
      </c>
      <c r="E86">
        <v>4375.8422</v>
      </c>
      <c r="F86">
        <v>-3.6315</v>
      </c>
      <c r="G86">
        <v>-15.9664</v>
      </c>
      <c r="H86">
        <f t="shared" ref="H86:H91" si="10">(B86-C86)/B86</f>
        <v>0.12799750856431025</v>
      </c>
      <c r="I86">
        <f t="shared" ref="I86:I91" si="11">(E86-D86)/D86</f>
        <v>0.20297769709985597</v>
      </c>
    </row>
    <row r="87" spans="1:9">
      <c r="A87" t="s">
        <v>259</v>
      </c>
      <c r="B87">
        <v>291.7</v>
      </c>
      <c r="C87">
        <v>269</v>
      </c>
      <c r="D87">
        <v>3607.7972</v>
      </c>
      <c r="E87">
        <v>3675.0828999999999</v>
      </c>
      <c r="G87">
        <v>-10.927199999999999</v>
      </c>
      <c r="H87">
        <f t="shared" si="10"/>
        <v>7.7819677751114119E-2</v>
      </c>
      <c r="I87">
        <f t="shared" si="11"/>
        <v>1.865007822501772E-2</v>
      </c>
    </row>
    <row r="88" spans="1:9">
      <c r="A88" t="s">
        <v>260</v>
      </c>
      <c r="B88">
        <v>328.8</v>
      </c>
      <c r="C88">
        <v>277.7</v>
      </c>
      <c r="D88">
        <v>3618.3038000000001</v>
      </c>
      <c r="E88">
        <v>3885.1981000000001</v>
      </c>
      <c r="F88">
        <v>18.230899999999998</v>
      </c>
      <c r="G88">
        <v>-0.14380000000000001</v>
      </c>
      <c r="H88">
        <f t="shared" si="10"/>
        <v>0.15541362530413633</v>
      </c>
      <c r="I88">
        <f t="shared" si="11"/>
        <v>7.3762269492130522E-2</v>
      </c>
    </row>
    <row r="89" spans="1:9">
      <c r="A89" t="s">
        <v>261</v>
      </c>
      <c r="B89">
        <v>274</v>
      </c>
      <c r="C89">
        <v>272.7</v>
      </c>
      <c r="D89">
        <v>3634.4701</v>
      </c>
      <c r="E89">
        <v>3653.6028999999999</v>
      </c>
      <c r="F89">
        <v>2.3534000000000002</v>
      </c>
      <c r="G89">
        <v>1.8677999999999999</v>
      </c>
      <c r="H89">
        <f t="shared" si="10"/>
        <v>4.7445255474452969E-3</v>
      </c>
      <c r="I89">
        <f t="shared" si="11"/>
        <v>5.2642612192627097E-3</v>
      </c>
    </row>
    <row r="90" spans="1:9">
      <c r="A90" t="s">
        <v>262</v>
      </c>
      <c r="B90">
        <v>268.7</v>
      </c>
      <c r="C90">
        <v>268.7</v>
      </c>
      <c r="D90">
        <v>3661.5070000000001</v>
      </c>
      <c r="E90">
        <v>3855.4402</v>
      </c>
      <c r="F90">
        <v>1.1291</v>
      </c>
      <c r="G90">
        <v>1.1291</v>
      </c>
      <c r="H90">
        <f t="shared" si="10"/>
        <v>0</v>
      </c>
      <c r="I90">
        <f t="shared" si="11"/>
        <v>5.296540468173349E-2</v>
      </c>
    </row>
    <row r="91" spans="1:9">
      <c r="A91" t="s">
        <v>263</v>
      </c>
      <c r="B91">
        <v>266.2</v>
      </c>
      <c r="C91">
        <v>264.2</v>
      </c>
      <c r="D91">
        <v>3770.1239999999998</v>
      </c>
      <c r="E91">
        <v>3673.9272999999998</v>
      </c>
      <c r="F91">
        <v>0.56669999999999998</v>
      </c>
      <c r="G91">
        <v>-0.18890000000000001</v>
      </c>
      <c r="H91">
        <f t="shared" si="10"/>
        <v>7.5131480090157776E-3</v>
      </c>
      <c r="I91">
        <f t="shared" si="11"/>
        <v>-2.5515526810258753E-2</v>
      </c>
    </row>
    <row r="95" spans="1:9">
      <c r="A95" s="1" t="s">
        <v>227</v>
      </c>
    </row>
    <row r="97" spans="1:23" ht="15" thickBot="1">
      <c r="A97" s="1" t="s">
        <v>0</v>
      </c>
      <c r="B97" t="s">
        <v>64</v>
      </c>
      <c r="C97">
        <v>0</v>
      </c>
      <c r="D97">
        <v>0</v>
      </c>
      <c r="E97">
        <v>10</v>
      </c>
      <c r="F97">
        <v>25</v>
      </c>
      <c r="G97">
        <v>27</v>
      </c>
      <c r="H97">
        <v>3</v>
      </c>
      <c r="I97">
        <v>200</v>
      </c>
      <c r="J97">
        <v>0</v>
      </c>
      <c r="K97" t="s">
        <v>1</v>
      </c>
      <c r="L97">
        <v>3.0007000000000001</v>
      </c>
      <c r="M97">
        <v>3605.002</v>
      </c>
      <c r="N97">
        <v>267.7</v>
      </c>
      <c r="O97">
        <v>290.10000000000002</v>
      </c>
      <c r="P97">
        <v>8.3675999999999995</v>
      </c>
      <c r="Q97">
        <v>0</v>
      </c>
      <c r="R97">
        <v>504</v>
      </c>
      <c r="S97">
        <v>2520</v>
      </c>
      <c r="T97" t="s">
        <v>228</v>
      </c>
      <c r="U97" t="s">
        <v>229</v>
      </c>
      <c r="V97" t="s">
        <v>230</v>
      </c>
      <c r="W97" s="2">
        <v>46117.875243055554</v>
      </c>
    </row>
    <row r="98" spans="1:23">
      <c r="A98" s="35" t="s">
        <v>0</v>
      </c>
      <c r="B98" s="36" t="s">
        <v>59</v>
      </c>
      <c r="C98" s="36">
        <v>0</v>
      </c>
      <c r="D98" s="36">
        <v>0</v>
      </c>
      <c r="E98" s="36">
        <v>10</v>
      </c>
      <c r="F98" s="36">
        <v>25</v>
      </c>
      <c r="G98" s="36">
        <v>27</v>
      </c>
      <c r="H98" s="36">
        <v>3</v>
      </c>
      <c r="I98" s="36">
        <v>200</v>
      </c>
      <c r="J98" s="36">
        <v>0</v>
      </c>
      <c r="K98" s="36" t="s">
        <v>1</v>
      </c>
      <c r="L98" s="36">
        <v>14.0547</v>
      </c>
      <c r="M98" s="36">
        <v>3602.4236000000001</v>
      </c>
      <c r="N98" s="36">
        <v>291.39999999999998</v>
      </c>
      <c r="O98" s="37">
        <v>-1</v>
      </c>
      <c r="P98" s="36"/>
      <c r="Q98" s="36"/>
      <c r="R98" s="36">
        <v>0</v>
      </c>
      <c r="S98" s="36">
        <v>0</v>
      </c>
      <c r="T98" s="36" t="s">
        <v>228</v>
      </c>
      <c r="U98" s="36" t="s">
        <v>232</v>
      </c>
      <c r="V98" s="36" t="s">
        <v>28</v>
      </c>
      <c r="W98" s="38">
        <v>46118.464513888888</v>
      </c>
    </row>
    <row r="99" spans="1:23" ht="15" thickBot="1">
      <c r="A99" s="39" t="s">
        <v>0</v>
      </c>
      <c r="B99" s="40" t="s">
        <v>59</v>
      </c>
      <c r="C99" s="40">
        <v>0</v>
      </c>
      <c r="D99" s="40">
        <v>0</v>
      </c>
      <c r="E99" s="40">
        <v>10</v>
      </c>
      <c r="F99" s="40">
        <v>25</v>
      </c>
      <c r="G99" s="40">
        <v>27</v>
      </c>
      <c r="H99" s="40">
        <v>3</v>
      </c>
      <c r="I99" s="40">
        <v>200</v>
      </c>
      <c r="J99" s="40">
        <v>0</v>
      </c>
      <c r="K99" s="40" t="s">
        <v>1</v>
      </c>
      <c r="L99" s="40">
        <v>14.0547</v>
      </c>
      <c r="M99" s="40">
        <v>4305.5973000000004</v>
      </c>
      <c r="N99" s="40">
        <v>291.39999999999998</v>
      </c>
      <c r="O99" s="40">
        <v>315.89999999999998</v>
      </c>
      <c r="P99" s="40">
        <v>8.4077000000000002</v>
      </c>
      <c r="Q99" s="40">
        <v>0</v>
      </c>
      <c r="R99" s="40">
        <v>3</v>
      </c>
      <c r="S99" s="40">
        <v>2124</v>
      </c>
      <c r="T99" s="40" t="s">
        <v>231</v>
      </c>
      <c r="U99" s="40" t="s">
        <v>232</v>
      </c>
      <c r="V99" s="40" t="s">
        <v>233</v>
      </c>
      <c r="W99" s="41">
        <v>46118.514351851853</v>
      </c>
    </row>
    <row r="100" spans="1:23">
      <c r="A100" s="1" t="s">
        <v>0</v>
      </c>
      <c r="B100" t="s">
        <v>70</v>
      </c>
      <c r="C100">
        <v>0</v>
      </c>
      <c r="D100">
        <v>0</v>
      </c>
      <c r="E100">
        <v>10</v>
      </c>
      <c r="F100">
        <v>25</v>
      </c>
      <c r="G100">
        <v>27</v>
      </c>
      <c r="H100">
        <v>3</v>
      </c>
      <c r="I100">
        <v>200</v>
      </c>
      <c r="J100">
        <v>0</v>
      </c>
      <c r="K100" t="s">
        <v>1</v>
      </c>
      <c r="L100">
        <v>9.9198000000000004</v>
      </c>
      <c r="M100">
        <v>3607.7972</v>
      </c>
      <c r="N100">
        <v>291.7</v>
      </c>
      <c r="O100" s="34">
        <v>-1</v>
      </c>
      <c r="R100">
        <v>0</v>
      </c>
      <c r="S100">
        <v>0</v>
      </c>
      <c r="T100" t="s">
        <v>228</v>
      </c>
      <c r="U100" t="s">
        <v>234</v>
      </c>
      <c r="V100" t="s">
        <v>28</v>
      </c>
      <c r="W100" s="2">
        <v>46118.561874999999</v>
      </c>
    </row>
    <row r="101" spans="1:23" ht="15" thickBot="1">
      <c r="A101" s="1" t="s">
        <v>0</v>
      </c>
      <c r="B101" t="s">
        <v>70</v>
      </c>
      <c r="C101">
        <v>0</v>
      </c>
      <c r="D101">
        <v>0</v>
      </c>
      <c r="E101">
        <v>10</v>
      </c>
      <c r="F101">
        <v>25</v>
      </c>
      <c r="G101">
        <v>27</v>
      </c>
      <c r="H101">
        <v>3</v>
      </c>
      <c r="I101">
        <v>200</v>
      </c>
      <c r="J101">
        <v>0</v>
      </c>
      <c r="K101" t="s">
        <v>1</v>
      </c>
      <c r="L101">
        <v>6.8392999999999997</v>
      </c>
      <c r="M101">
        <v>3675.0828999999999</v>
      </c>
      <c r="N101">
        <v>302</v>
      </c>
      <c r="O101" s="34">
        <v>269</v>
      </c>
      <c r="P101">
        <v>-10.927199999999999</v>
      </c>
      <c r="Q101">
        <v>0</v>
      </c>
      <c r="R101">
        <v>60</v>
      </c>
      <c r="S101">
        <v>4725</v>
      </c>
      <c r="T101" t="s">
        <v>231</v>
      </c>
      <c r="U101" t="s">
        <v>235</v>
      </c>
      <c r="V101" t="s">
        <v>236</v>
      </c>
      <c r="W101" s="2">
        <v>46118.734444444446</v>
      </c>
    </row>
    <row r="102" spans="1:23">
      <c r="A102" s="35" t="s">
        <v>0</v>
      </c>
      <c r="B102" s="36" t="s">
        <v>81</v>
      </c>
      <c r="C102" s="36">
        <v>0</v>
      </c>
      <c r="D102" s="36">
        <v>0</v>
      </c>
      <c r="E102" s="36">
        <v>10</v>
      </c>
      <c r="F102" s="36">
        <v>25</v>
      </c>
      <c r="G102" s="36">
        <v>27</v>
      </c>
      <c r="H102" s="36">
        <v>3</v>
      </c>
      <c r="I102" s="36">
        <v>200</v>
      </c>
      <c r="J102" s="36">
        <v>0</v>
      </c>
      <c r="K102" s="36" t="s">
        <v>1</v>
      </c>
      <c r="L102" s="36">
        <v>60.286900000000003</v>
      </c>
      <c r="M102" s="36">
        <v>3618.3038000000001</v>
      </c>
      <c r="N102" s="36">
        <v>278.10000000000002</v>
      </c>
      <c r="O102" s="36">
        <v>328.8</v>
      </c>
      <c r="P102" s="36">
        <v>18.230899999999998</v>
      </c>
      <c r="Q102" s="36">
        <v>0</v>
      </c>
      <c r="R102" s="36">
        <v>97</v>
      </c>
      <c r="S102" s="36">
        <v>3120</v>
      </c>
      <c r="T102" s="36" t="s">
        <v>228</v>
      </c>
      <c r="U102" s="36" t="s">
        <v>237</v>
      </c>
      <c r="V102" s="36" t="s">
        <v>238</v>
      </c>
      <c r="W102" s="38">
        <v>46118.777025462965</v>
      </c>
    </row>
    <row r="103" spans="1:23" ht="15" thickBot="1">
      <c r="A103" s="42" t="s">
        <v>0</v>
      </c>
      <c r="B103" s="43" t="s">
        <v>81</v>
      </c>
      <c r="C103" s="43">
        <v>0</v>
      </c>
      <c r="D103" s="43">
        <v>0</v>
      </c>
      <c r="E103" s="43">
        <v>10</v>
      </c>
      <c r="F103" s="43">
        <v>25</v>
      </c>
      <c r="G103" s="43">
        <v>27</v>
      </c>
      <c r="H103" s="43">
        <v>3</v>
      </c>
      <c r="I103" s="43">
        <v>200</v>
      </c>
      <c r="J103" s="43">
        <v>0</v>
      </c>
      <c r="K103" s="43" t="s">
        <v>1</v>
      </c>
      <c r="L103" s="43">
        <v>60.286900000000003</v>
      </c>
      <c r="M103" s="43">
        <v>3885.1981000000001</v>
      </c>
      <c r="N103" s="43">
        <v>278.10000000000002</v>
      </c>
      <c r="O103" s="43">
        <v>277.7</v>
      </c>
      <c r="P103" s="43">
        <v>-0.14380000000000001</v>
      </c>
      <c r="Q103" s="43">
        <v>0</v>
      </c>
      <c r="R103" s="43">
        <v>3</v>
      </c>
      <c r="S103" s="43">
        <v>3858</v>
      </c>
      <c r="T103" s="43" t="s">
        <v>231</v>
      </c>
      <c r="U103" s="43" t="s">
        <v>237</v>
      </c>
      <c r="V103" s="43" t="s">
        <v>239</v>
      </c>
      <c r="W103" s="44">
        <v>46118.82199074074</v>
      </c>
    </row>
    <row r="104" spans="1:23">
      <c r="A104" s="1" t="s">
        <v>0</v>
      </c>
      <c r="B104" t="s">
        <v>82</v>
      </c>
      <c r="C104">
        <v>0</v>
      </c>
      <c r="D104">
        <v>0</v>
      </c>
      <c r="E104">
        <v>10</v>
      </c>
      <c r="F104">
        <v>25</v>
      </c>
      <c r="G104">
        <v>27</v>
      </c>
      <c r="H104">
        <v>3</v>
      </c>
      <c r="I104">
        <v>200</v>
      </c>
      <c r="J104">
        <v>0</v>
      </c>
      <c r="K104" t="s">
        <v>1</v>
      </c>
      <c r="L104">
        <v>60.237200000000001</v>
      </c>
      <c r="M104">
        <v>3634.4701</v>
      </c>
      <c r="N104">
        <v>267.7</v>
      </c>
      <c r="O104">
        <v>274</v>
      </c>
      <c r="P104">
        <v>2.3534000000000002</v>
      </c>
      <c r="Q104">
        <v>0</v>
      </c>
      <c r="R104">
        <v>82</v>
      </c>
      <c r="S104">
        <v>3450</v>
      </c>
      <c r="T104" t="s">
        <v>228</v>
      </c>
      <c r="U104" t="s">
        <v>229</v>
      </c>
      <c r="V104" t="s">
        <v>240</v>
      </c>
      <c r="W104" s="2">
        <v>46118.864756944444</v>
      </c>
    </row>
    <row r="105" spans="1:23" ht="15" thickBot="1">
      <c r="A105" s="1" t="s">
        <v>0</v>
      </c>
      <c r="B105" t="s">
        <v>82</v>
      </c>
      <c r="C105">
        <v>0</v>
      </c>
      <c r="D105">
        <v>0</v>
      </c>
      <c r="E105">
        <v>10</v>
      </c>
      <c r="F105">
        <v>25</v>
      </c>
      <c r="G105">
        <v>27</v>
      </c>
      <c r="H105">
        <v>3</v>
      </c>
      <c r="I105">
        <v>200</v>
      </c>
      <c r="J105">
        <v>0</v>
      </c>
      <c r="K105" t="s">
        <v>1</v>
      </c>
      <c r="L105">
        <v>60.237200000000001</v>
      </c>
      <c r="M105">
        <v>3653.6028999999999</v>
      </c>
      <c r="N105">
        <v>267.7</v>
      </c>
      <c r="O105">
        <v>272.7</v>
      </c>
      <c r="P105">
        <v>1.8677999999999999</v>
      </c>
      <c r="Q105">
        <v>0</v>
      </c>
      <c r="R105">
        <v>64</v>
      </c>
      <c r="S105">
        <v>4221</v>
      </c>
      <c r="T105" t="s">
        <v>231</v>
      </c>
      <c r="U105" t="s">
        <v>229</v>
      </c>
      <c r="V105" t="s">
        <v>241</v>
      </c>
      <c r="W105" s="2">
        <v>46118.907037037039</v>
      </c>
    </row>
    <row r="106" spans="1:23">
      <c r="A106" s="35" t="s">
        <v>0</v>
      </c>
      <c r="B106" s="36" t="s">
        <v>85</v>
      </c>
      <c r="C106" s="36">
        <v>0</v>
      </c>
      <c r="D106" s="36">
        <v>0</v>
      </c>
      <c r="E106" s="36">
        <v>10</v>
      </c>
      <c r="F106" s="36">
        <v>25</v>
      </c>
      <c r="G106" s="36">
        <v>27</v>
      </c>
      <c r="H106" s="36">
        <v>3</v>
      </c>
      <c r="I106" s="36">
        <v>200</v>
      </c>
      <c r="J106" s="36">
        <v>0</v>
      </c>
      <c r="K106" s="36" t="s">
        <v>1</v>
      </c>
      <c r="L106" s="36">
        <v>60.887300000000003</v>
      </c>
      <c r="M106" s="36">
        <v>3661.5070000000001</v>
      </c>
      <c r="N106" s="36">
        <v>265.7</v>
      </c>
      <c r="O106" s="36">
        <v>268.7</v>
      </c>
      <c r="P106" s="36">
        <v>1.1291</v>
      </c>
      <c r="Q106" s="36">
        <v>0</v>
      </c>
      <c r="R106" s="36">
        <v>14</v>
      </c>
      <c r="S106" s="36">
        <v>1320</v>
      </c>
      <c r="T106" s="36" t="s">
        <v>228</v>
      </c>
      <c r="U106" s="36" t="s">
        <v>242</v>
      </c>
      <c r="V106" s="36" t="s">
        <v>243</v>
      </c>
      <c r="W106" s="38">
        <v>46118.950127314813</v>
      </c>
    </row>
    <row r="107" spans="1:23" ht="15" thickBot="1">
      <c r="A107" s="42" t="s">
        <v>0</v>
      </c>
      <c r="B107" s="43" t="s">
        <v>85</v>
      </c>
      <c r="C107" s="43">
        <v>0</v>
      </c>
      <c r="D107" s="43">
        <v>0</v>
      </c>
      <c r="E107" s="43">
        <v>10</v>
      </c>
      <c r="F107" s="43">
        <v>25</v>
      </c>
      <c r="G107" s="43">
        <v>27</v>
      </c>
      <c r="H107" s="43">
        <v>3</v>
      </c>
      <c r="I107" s="43">
        <v>200</v>
      </c>
      <c r="J107" s="43">
        <v>0</v>
      </c>
      <c r="K107" s="43" t="s">
        <v>1</v>
      </c>
      <c r="L107" s="43">
        <v>60.887300000000003</v>
      </c>
      <c r="M107" s="43">
        <v>3855.4402</v>
      </c>
      <c r="N107" s="43">
        <v>265.7</v>
      </c>
      <c r="O107" s="43">
        <v>268.7</v>
      </c>
      <c r="P107" s="43">
        <v>1.1291</v>
      </c>
      <c r="Q107" s="43">
        <v>0</v>
      </c>
      <c r="R107" s="43">
        <v>13</v>
      </c>
      <c r="S107" s="43">
        <v>1785</v>
      </c>
      <c r="T107" s="43" t="s">
        <v>231</v>
      </c>
      <c r="U107" s="43" t="s">
        <v>242</v>
      </c>
      <c r="V107" s="43" t="s">
        <v>244</v>
      </c>
      <c r="W107" s="44">
        <v>46118.994745370372</v>
      </c>
    </row>
    <row r="108" spans="1:23">
      <c r="A108" s="1" t="s">
        <v>0</v>
      </c>
      <c r="B108" t="s">
        <v>88</v>
      </c>
      <c r="C108">
        <v>0</v>
      </c>
      <c r="D108">
        <v>0</v>
      </c>
      <c r="E108">
        <v>10</v>
      </c>
      <c r="F108">
        <v>25</v>
      </c>
      <c r="G108">
        <v>27</v>
      </c>
      <c r="H108">
        <v>3</v>
      </c>
      <c r="I108">
        <v>200</v>
      </c>
      <c r="J108">
        <v>0</v>
      </c>
      <c r="K108" t="s">
        <v>1</v>
      </c>
      <c r="L108">
        <v>60.744100000000003</v>
      </c>
      <c r="M108">
        <v>3770.1239999999998</v>
      </c>
      <c r="N108">
        <v>264.7</v>
      </c>
      <c r="O108">
        <v>266.2</v>
      </c>
      <c r="P108">
        <v>0.56669999999999998</v>
      </c>
      <c r="Q108">
        <v>0</v>
      </c>
      <c r="R108">
        <v>10</v>
      </c>
      <c r="S108">
        <v>2367</v>
      </c>
      <c r="T108" t="s">
        <v>228</v>
      </c>
      <c r="U108" t="s">
        <v>245</v>
      </c>
      <c r="V108" t="s">
        <v>246</v>
      </c>
      <c r="W108" s="2">
        <v>46119.039085648146</v>
      </c>
    </row>
    <row r="109" spans="1:23">
      <c r="A109" s="1" t="s">
        <v>0</v>
      </c>
      <c r="B109" t="s">
        <v>88</v>
      </c>
      <c r="C109">
        <v>0</v>
      </c>
      <c r="D109">
        <v>0</v>
      </c>
      <c r="E109">
        <v>10</v>
      </c>
      <c r="F109">
        <v>25</v>
      </c>
      <c r="G109">
        <v>27</v>
      </c>
      <c r="H109">
        <v>3</v>
      </c>
      <c r="I109">
        <v>200</v>
      </c>
      <c r="J109">
        <v>0</v>
      </c>
      <c r="K109" t="s">
        <v>1</v>
      </c>
      <c r="L109">
        <v>60.744100000000003</v>
      </c>
      <c r="M109">
        <v>3673.9272999999998</v>
      </c>
      <c r="N109">
        <v>264.7</v>
      </c>
      <c r="O109">
        <v>264.2</v>
      </c>
      <c r="P109">
        <v>-0.18890000000000001</v>
      </c>
      <c r="Q109">
        <v>0</v>
      </c>
      <c r="R109">
        <v>13</v>
      </c>
      <c r="S109">
        <v>3195</v>
      </c>
      <c r="T109" t="s">
        <v>231</v>
      </c>
      <c r="U109" t="s">
        <v>245</v>
      </c>
      <c r="V109" t="s">
        <v>247</v>
      </c>
      <c r="W109" s="2">
        <v>46119.081608796296</v>
      </c>
    </row>
  </sheetData>
  <mergeCells count="12">
    <mergeCell ref="Y51:AG51"/>
    <mergeCell ref="AI51:AQ51"/>
    <mergeCell ref="AW36:BA36"/>
    <mergeCell ref="Y16:AG16"/>
    <mergeCell ref="AI16:AQ16"/>
    <mergeCell ref="Y32:AG32"/>
    <mergeCell ref="AI32:AQ32"/>
    <mergeCell ref="AX14:BB14"/>
    <mergeCell ref="AX4:BB4"/>
    <mergeCell ref="Y1:AG1"/>
    <mergeCell ref="AI1:AQ1"/>
    <mergeCell ref="AW26:BA2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D032-B0EF-42AD-B56B-43306A4DDBF0}">
  <dimension ref="B3:K56"/>
  <sheetViews>
    <sheetView zoomScale="85" zoomScaleNormal="85" workbookViewId="0">
      <selection activeCell="B4" sqref="B4:J25"/>
    </sheetView>
  </sheetViews>
  <sheetFormatPr defaultRowHeight="14.4"/>
  <sheetData>
    <row r="3" spans="2:11">
      <c r="C3" t="s">
        <v>132</v>
      </c>
    </row>
    <row r="4" spans="2:11">
      <c r="B4" s="10" t="s">
        <v>94</v>
      </c>
      <c r="C4" s="10" t="s">
        <v>95</v>
      </c>
      <c r="D4" s="10" t="s">
        <v>96</v>
      </c>
      <c r="E4" s="10" t="s">
        <v>97</v>
      </c>
      <c r="F4" s="10" t="s">
        <v>98</v>
      </c>
      <c r="G4" s="10" t="s">
        <v>99</v>
      </c>
      <c r="H4" s="10" t="s">
        <v>100</v>
      </c>
      <c r="I4" s="10" t="s">
        <v>101</v>
      </c>
      <c r="J4" s="10" t="s">
        <v>102</v>
      </c>
      <c r="K4" s="10"/>
    </row>
    <row r="5" spans="2:11">
      <c r="B5" t="s">
        <v>103</v>
      </c>
      <c r="C5">
        <v>25</v>
      </c>
      <c r="D5">
        <v>227</v>
      </c>
      <c r="E5">
        <v>617.1</v>
      </c>
      <c r="F5">
        <v>617.1</v>
      </c>
      <c r="G5">
        <v>8</v>
      </c>
      <c r="H5">
        <v>1</v>
      </c>
      <c r="I5">
        <v>78</v>
      </c>
      <c r="J5">
        <v>5.8</v>
      </c>
    </row>
    <row r="6" spans="2:11">
      <c r="B6" t="s">
        <v>103</v>
      </c>
      <c r="C6">
        <v>50</v>
      </c>
      <c r="D6">
        <v>817</v>
      </c>
      <c r="E6">
        <v>1034.5999999999999</v>
      </c>
      <c r="F6">
        <v>1035.2</v>
      </c>
      <c r="G6">
        <v>12</v>
      </c>
      <c r="H6">
        <v>11</v>
      </c>
      <c r="I6">
        <v>1395</v>
      </c>
      <c r="J6">
        <v>66.7</v>
      </c>
    </row>
    <row r="7" spans="2:11">
      <c r="B7" t="s">
        <v>103</v>
      </c>
      <c r="C7">
        <v>100</v>
      </c>
      <c r="D7">
        <v>3272</v>
      </c>
      <c r="E7">
        <v>1604.5</v>
      </c>
      <c r="F7">
        <v>1607.7</v>
      </c>
      <c r="G7">
        <v>18</v>
      </c>
      <c r="H7">
        <v>23</v>
      </c>
      <c r="I7">
        <v>8596</v>
      </c>
      <c r="J7">
        <v>1064.2</v>
      </c>
    </row>
    <row r="8" spans="2:11">
      <c r="B8" t="s">
        <v>104</v>
      </c>
      <c r="C8">
        <v>25</v>
      </c>
      <c r="D8">
        <v>404</v>
      </c>
      <c r="E8">
        <v>546.4</v>
      </c>
      <c r="F8">
        <v>547.1</v>
      </c>
      <c r="G8">
        <v>7</v>
      </c>
      <c r="H8">
        <v>3</v>
      </c>
      <c r="I8">
        <v>165</v>
      </c>
      <c r="J8">
        <v>20.3</v>
      </c>
    </row>
    <row r="9" spans="2:11">
      <c r="B9" t="s">
        <v>104</v>
      </c>
      <c r="C9">
        <v>50</v>
      </c>
      <c r="D9">
        <v>1437</v>
      </c>
      <c r="E9">
        <v>904.6</v>
      </c>
      <c r="F9">
        <v>904.6</v>
      </c>
      <c r="G9">
        <v>11</v>
      </c>
      <c r="H9">
        <v>1</v>
      </c>
      <c r="I9">
        <v>591</v>
      </c>
      <c r="J9">
        <v>67.8</v>
      </c>
    </row>
    <row r="10" spans="2:11">
      <c r="B10" t="s">
        <v>104</v>
      </c>
      <c r="C10">
        <v>100</v>
      </c>
      <c r="D10">
        <v>5336</v>
      </c>
      <c r="E10">
        <v>1434</v>
      </c>
      <c r="F10">
        <v>1434</v>
      </c>
      <c r="G10">
        <v>17</v>
      </c>
      <c r="H10">
        <v>1</v>
      </c>
      <c r="I10">
        <v>2126</v>
      </c>
      <c r="J10">
        <v>756.9</v>
      </c>
    </row>
    <row r="11" spans="2:11">
      <c r="B11" t="s">
        <v>105</v>
      </c>
      <c r="C11">
        <v>25</v>
      </c>
      <c r="D11">
        <v>510</v>
      </c>
      <c r="E11">
        <v>454.6</v>
      </c>
      <c r="F11">
        <v>454.6</v>
      </c>
      <c r="G11">
        <v>5</v>
      </c>
      <c r="H11">
        <v>1</v>
      </c>
      <c r="I11">
        <v>246</v>
      </c>
      <c r="J11">
        <v>22.2</v>
      </c>
    </row>
    <row r="12" spans="2:11">
      <c r="B12" t="s">
        <v>105</v>
      </c>
      <c r="C12">
        <v>50</v>
      </c>
      <c r="D12">
        <v>1859</v>
      </c>
      <c r="E12">
        <v>765.4</v>
      </c>
      <c r="F12">
        <v>772.5</v>
      </c>
      <c r="G12">
        <v>9</v>
      </c>
      <c r="H12">
        <v>173</v>
      </c>
      <c r="I12">
        <v>37330</v>
      </c>
      <c r="J12">
        <v>8939.1</v>
      </c>
    </row>
    <row r="13" spans="2:11">
      <c r="B13" t="s">
        <v>106</v>
      </c>
      <c r="C13">
        <v>25</v>
      </c>
      <c r="D13">
        <v>559</v>
      </c>
      <c r="E13">
        <v>416.9</v>
      </c>
      <c r="F13">
        <v>416.9</v>
      </c>
      <c r="G13">
        <v>4</v>
      </c>
      <c r="H13">
        <v>1</v>
      </c>
      <c r="I13">
        <v>419</v>
      </c>
      <c r="J13">
        <v>46</v>
      </c>
    </row>
    <row r="14" spans="2:11">
      <c r="B14" t="s">
        <v>107</v>
      </c>
      <c r="C14">
        <v>25</v>
      </c>
      <c r="D14">
        <v>303</v>
      </c>
      <c r="E14">
        <v>526</v>
      </c>
      <c r="F14">
        <v>530.5</v>
      </c>
      <c r="G14">
        <v>6</v>
      </c>
      <c r="H14">
        <v>7</v>
      </c>
      <c r="I14">
        <v>554</v>
      </c>
      <c r="J14">
        <v>22.6</v>
      </c>
    </row>
    <row r="15" spans="2:11">
      <c r="B15" t="s">
        <v>107</v>
      </c>
      <c r="C15">
        <v>50</v>
      </c>
      <c r="D15">
        <v>1076</v>
      </c>
      <c r="E15">
        <v>891.7</v>
      </c>
      <c r="F15">
        <v>899.3</v>
      </c>
      <c r="G15">
        <v>9</v>
      </c>
      <c r="H15">
        <v>33</v>
      </c>
      <c r="I15">
        <v>4458</v>
      </c>
      <c r="J15">
        <v>362.6</v>
      </c>
    </row>
    <row r="16" spans="2:11">
      <c r="B16" s="11" t="s">
        <v>108</v>
      </c>
      <c r="C16" s="11">
        <v>25</v>
      </c>
      <c r="D16" s="11">
        <v>458</v>
      </c>
      <c r="E16" s="11">
        <v>457.3</v>
      </c>
      <c r="F16" s="11">
        <v>467.4</v>
      </c>
      <c r="G16" s="11">
        <v>5</v>
      </c>
      <c r="H16" s="11">
        <v>15</v>
      </c>
      <c r="I16" s="11">
        <v>2451</v>
      </c>
      <c r="J16" s="11">
        <v>205.2</v>
      </c>
      <c r="K16" s="11"/>
    </row>
    <row r="17" spans="2:11">
      <c r="B17" t="s">
        <v>108</v>
      </c>
      <c r="C17">
        <v>50</v>
      </c>
      <c r="D17">
        <v>1642</v>
      </c>
      <c r="E17">
        <v>783.3</v>
      </c>
      <c r="F17">
        <v>785.2</v>
      </c>
      <c r="G17">
        <v>8</v>
      </c>
      <c r="H17">
        <v>5</v>
      </c>
      <c r="I17">
        <v>1688</v>
      </c>
      <c r="J17">
        <v>386.4</v>
      </c>
    </row>
    <row r="18" spans="2:11">
      <c r="B18" t="s">
        <v>109</v>
      </c>
      <c r="C18">
        <v>25</v>
      </c>
      <c r="D18">
        <v>542</v>
      </c>
      <c r="E18">
        <v>423</v>
      </c>
      <c r="F18">
        <v>424.3</v>
      </c>
      <c r="G18">
        <v>4</v>
      </c>
      <c r="H18">
        <v>21</v>
      </c>
      <c r="I18">
        <v>3191</v>
      </c>
      <c r="J18">
        <v>304.10000000000002</v>
      </c>
    </row>
    <row r="19" spans="2:11">
      <c r="B19" t="s">
        <v>109</v>
      </c>
      <c r="C19">
        <v>50</v>
      </c>
      <c r="D19">
        <v>1995</v>
      </c>
      <c r="E19">
        <v>703.2</v>
      </c>
      <c r="F19">
        <v>711.1</v>
      </c>
      <c r="G19">
        <v>7</v>
      </c>
      <c r="H19">
        <v>79</v>
      </c>
      <c r="I19">
        <v>19816</v>
      </c>
      <c r="J19">
        <v>7362.1</v>
      </c>
    </row>
    <row r="20" spans="2:11">
      <c r="B20" t="s">
        <v>110</v>
      </c>
      <c r="C20">
        <v>25</v>
      </c>
      <c r="D20">
        <v>586</v>
      </c>
      <c r="E20">
        <v>396.2</v>
      </c>
      <c r="F20">
        <v>397.2</v>
      </c>
      <c r="G20">
        <v>4</v>
      </c>
      <c r="H20">
        <v>3</v>
      </c>
      <c r="I20">
        <v>1041</v>
      </c>
      <c r="J20">
        <v>307.39999999999998</v>
      </c>
    </row>
    <row r="21" spans="2:11">
      <c r="B21" t="s">
        <v>111</v>
      </c>
      <c r="C21">
        <v>25</v>
      </c>
      <c r="D21">
        <v>411</v>
      </c>
      <c r="E21">
        <v>441.3</v>
      </c>
      <c r="F21">
        <v>441.3</v>
      </c>
      <c r="G21">
        <v>5</v>
      </c>
      <c r="H21">
        <v>1</v>
      </c>
      <c r="I21">
        <v>207</v>
      </c>
      <c r="J21">
        <v>14.4</v>
      </c>
    </row>
    <row r="22" spans="2:11">
      <c r="B22" t="s">
        <v>112</v>
      </c>
      <c r="C22">
        <v>25</v>
      </c>
      <c r="D22">
        <v>530</v>
      </c>
      <c r="E22">
        <v>425.4</v>
      </c>
      <c r="F22">
        <v>429.5</v>
      </c>
      <c r="G22">
        <v>4</v>
      </c>
      <c r="H22">
        <v>5</v>
      </c>
      <c r="I22">
        <v>655</v>
      </c>
      <c r="J22">
        <v>64.3</v>
      </c>
    </row>
    <row r="23" spans="2:11">
      <c r="B23" s="10" t="s">
        <v>112</v>
      </c>
      <c r="C23" s="10">
        <v>50</v>
      </c>
      <c r="D23" s="10">
        <v>2026</v>
      </c>
      <c r="E23" s="10">
        <v>692.4</v>
      </c>
      <c r="F23" s="10">
        <v>697</v>
      </c>
      <c r="G23" s="10">
        <v>7</v>
      </c>
      <c r="H23" s="10">
        <v>53</v>
      </c>
      <c r="I23" s="10">
        <v>15341</v>
      </c>
      <c r="J23" s="10">
        <v>4906.1000000000004</v>
      </c>
      <c r="K23" s="10"/>
    </row>
    <row r="24" spans="2:11">
      <c r="B24" t="s">
        <v>113</v>
      </c>
      <c r="C24">
        <v>25</v>
      </c>
      <c r="D24">
        <v>526</v>
      </c>
      <c r="E24">
        <v>423.5</v>
      </c>
      <c r="F24">
        <v>428.8</v>
      </c>
      <c r="G24">
        <v>4</v>
      </c>
      <c r="H24">
        <v>15</v>
      </c>
      <c r="I24">
        <v>2794</v>
      </c>
      <c r="J24">
        <v>330</v>
      </c>
    </row>
    <row r="25" spans="2:11">
      <c r="B25" t="s">
        <v>114</v>
      </c>
      <c r="C25">
        <v>25</v>
      </c>
      <c r="D25">
        <v>647</v>
      </c>
      <c r="E25">
        <v>383.9</v>
      </c>
      <c r="F25">
        <v>393</v>
      </c>
      <c r="G25">
        <v>4</v>
      </c>
      <c r="H25">
        <v>21</v>
      </c>
      <c r="I25">
        <v>2643</v>
      </c>
      <c r="J25">
        <v>623.29999999999995</v>
      </c>
    </row>
    <row r="27" spans="2:11">
      <c r="B27" t="s">
        <v>115</v>
      </c>
      <c r="C27">
        <v>25</v>
      </c>
      <c r="D27">
        <v>332</v>
      </c>
      <c r="E27">
        <v>191.3</v>
      </c>
      <c r="F27">
        <v>191.3</v>
      </c>
      <c r="G27">
        <v>3</v>
      </c>
      <c r="H27">
        <v>1</v>
      </c>
      <c r="I27">
        <v>498</v>
      </c>
      <c r="J27">
        <v>18.600000000000001</v>
      </c>
    </row>
    <row r="28" spans="2:11">
      <c r="B28" t="s">
        <v>115</v>
      </c>
      <c r="C28">
        <v>50</v>
      </c>
      <c r="D28">
        <v>1217</v>
      </c>
      <c r="E28">
        <v>362.4</v>
      </c>
      <c r="F28">
        <v>362.4</v>
      </c>
      <c r="G28">
        <v>5</v>
      </c>
      <c r="H28">
        <v>1</v>
      </c>
      <c r="I28">
        <v>870</v>
      </c>
      <c r="J28">
        <v>67.099999999999994</v>
      </c>
    </row>
    <row r="29" spans="2:11">
      <c r="B29" s="11" t="s">
        <v>115</v>
      </c>
      <c r="C29" s="11">
        <v>100</v>
      </c>
      <c r="D29" s="11">
        <v>4515</v>
      </c>
      <c r="E29" s="11">
        <v>827.3</v>
      </c>
      <c r="F29" s="11">
        <v>827.3</v>
      </c>
      <c r="G29" s="11">
        <v>10</v>
      </c>
      <c r="H29" s="11">
        <v>1</v>
      </c>
      <c r="I29" s="11">
        <v>3768</v>
      </c>
      <c r="J29" s="11">
        <v>434.5</v>
      </c>
      <c r="K29" s="11"/>
    </row>
    <row r="30" spans="2:11">
      <c r="B30" t="s">
        <v>116</v>
      </c>
      <c r="C30">
        <v>25</v>
      </c>
      <c r="D30">
        <v>473</v>
      </c>
      <c r="E30">
        <v>190.3</v>
      </c>
      <c r="F30">
        <v>190.3</v>
      </c>
      <c r="G30">
        <v>3</v>
      </c>
      <c r="H30">
        <v>1</v>
      </c>
      <c r="I30">
        <v>534</v>
      </c>
      <c r="J30">
        <v>79.7</v>
      </c>
    </row>
    <row r="31" spans="2:11">
      <c r="B31" t="s">
        <v>116</v>
      </c>
      <c r="C31">
        <v>50</v>
      </c>
      <c r="D31">
        <v>1732</v>
      </c>
      <c r="E31">
        <v>361.4</v>
      </c>
      <c r="F31">
        <v>361.4</v>
      </c>
      <c r="G31">
        <v>5</v>
      </c>
      <c r="H31">
        <v>1</v>
      </c>
      <c r="I31">
        <v>1554</v>
      </c>
      <c r="J31">
        <v>330.2</v>
      </c>
    </row>
    <row r="32" spans="2:11">
      <c r="B32" t="s">
        <v>116</v>
      </c>
      <c r="C32">
        <v>100</v>
      </c>
      <c r="D32">
        <v>6581</v>
      </c>
      <c r="E32">
        <v>827.3</v>
      </c>
      <c r="F32">
        <v>827.3</v>
      </c>
      <c r="G32">
        <v>10</v>
      </c>
      <c r="H32">
        <v>1</v>
      </c>
      <c r="I32">
        <v>4038</v>
      </c>
      <c r="J32">
        <v>1990.8</v>
      </c>
    </row>
    <row r="33" spans="2:11">
      <c r="B33" t="s">
        <v>117</v>
      </c>
      <c r="C33">
        <v>25</v>
      </c>
      <c r="D33">
        <v>569</v>
      </c>
      <c r="E33">
        <v>190.3</v>
      </c>
      <c r="F33">
        <v>190.3</v>
      </c>
      <c r="G33">
        <v>3</v>
      </c>
      <c r="H33">
        <v>1</v>
      </c>
      <c r="I33">
        <v>447</v>
      </c>
      <c r="J33">
        <v>134.69999999999999</v>
      </c>
    </row>
    <row r="34" spans="2:11">
      <c r="B34" s="12" t="s">
        <v>117</v>
      </c>
      <c r="C34" s="12">
        <v>50</v>
      </c>
      <c r="D34" s="12">
        <v>2165</v>
      </c>
      <c r="E34" s="12">
        <v>361.4</v>
      </c>
      <c r="F34" s="12">
        <v>361.4</v>
      </c>
      <c r="G34" s="12">
        <v>4</v>
      </c>
      <c r="H34" s="12">
        <v>1</v>
      </c>
      <c r="I34" s="12">
        <v>1769</v>
      </c>
      <c r="J34" s="12">
        <v>896</v>
      </c>
      <c r="K34" s="12"/>
    </row>
    <row r="35" spans="2:11">
      <c r="B35" t="s">
        <v>118</v>
      </c>
      <c r="C35">
        <v>25</v>
      </c>
      <c r="D35">
        <v>604</v>
      </c>
      <c r="E35">
        <v>186.9</v>
      </c>
      <c r="F35">
        <v>186.9</v>
      </c>
      <c r="G35">
        <v>3</v>
      </c>
      <c r="H35">
        <v>1</v>
      </c>
      <c r="I35">
        <v>485</v>
      </c>
      <c r="J35">
        <v>223.9</v>
      </c>
    </row>
    <row r="36" spans="2:11">
      <c r="B36" t="s">
        <v>119</v>
      </c>
      <c r="C36">
        <v>25</v>
      </c>
      <c r="D36">
        <v>357</v>
      </c>
      <c r="E36">
        <v>191.3</v>
      </c>
      <c r="F36">
        <v>191.3</v>
      </c>
      <c r="G36">
        <v>3</v>
      </c>
      <c r="H36">
        <v>1</v>
      </c>
      <c r="I36">
        <v>531</v>
      </c>
      <c r="J36">
        <v>25.6</v>
      </c>
    </row>
    <row r="37" spans="2:11">
      <c r="B37" t="s">
        <v>119</v>
      </c>
      <c r="C37">
        <v>50</v>
      </c>
      <c r="D37">
        <v>1333</v>
      </c>
      <c r="E37">
        <v>362.4</v>
      </c>
      <c r="F37">
        <v>362.4</v>
      </c>
      <c r="G37">
        <v>5</v>
      </c>
      <c r="H37">
        <v>1</v>
      </c>
      <c r="I37">
        <v>1142</v>
      </c>
      <c r="J37">
        <v>99.1</v>
      </c>
    </row>
    <row r="38" spans="2:11">
      <c r="B38" t="s">
        <v>120</v>
      </c>
      <c r="C38">
        <v>25</v>
      </c>
      <c r="D38">
        <v>336</v>
      </c>
      <c r="E38">
        <v>191.3</v>
      </c>
      <c r="F38">
        <v>191.3</v>
      </c>
      <c r="G38">
        <v>3</v>
      </c>
      <c r="H38">
        <v>1</v>
      </c>
      <c r="I38">
        <v>447</v>
      </c>
      <c r="J38">
        <v>20.7</v>
      </c>
    </row>
    <row r="39" spans="2:11">
      <c r="B39" s="13" t="s">
        <v>120</v>
      </c>
      <c r="C39" s="13">
        <v>50</v>
      </c>
      <c r="D39" s="13">
        <v>1272</v>
      </c>
      <c r="E39" s="13">
        <v>362.4</v>
      </c>
      <c r="F39" s="13">
        <v>362.4</v>
      </c>
      <c r="G39" s="13">
        <v>5</v>
      </c>
      <c r="H39" s="13">
        <v>1</v>
      </c>
      <c r="I39" s="13">
        <v>1170</v>
      </c>
      <c r="J39" s="13">
        <v>91.3</v>
      </c>
      <c r="K39" s="13"/>
    </row>
    <row r="40" spans="2:11">
      <c r="B40" t="s">
        <v>120</v>
      </c>
      <c r="C40">
        <v>100</v>
      </c>
      <c r="D40">
        <v>5423</v>
      </c>
      <c r="E40">
        <v>827.3</v>
      </c>
      <c r="F40">
        <v>827.3</v>
      </c>
      <c r="G40">
        <v>10</v>
      </c>
      <c r="H40">
        <v>1</v>
      </c>
      <c r="I40">
        <v>3681</v>
      </c>
      <c r="J40">
        <v>724.8</v>
      </c>
    </row>
    <row r="41" spans="2:11">
      <c r="B41" t="s">
        <v>121</v>
      </c>
      <c r="C41">
        <v>25</v>
      </c>
      <c r="D41">
        <v>377</v>
      </c>
      <c r="E41">
        <v>191.3</v>
      </c>
      <c r="F41">
        <v>191.3</v>
      </c>
      <c r="G41">
        <v>3</v>
      </c>
      <c r="H41">
        <v>1</v>
      </c>
      <c r="I41">
        <v>514</v>
      </c>
      <c r="J41">
        <v>31.7</v>
      </c>
    </row>
    <row r="42" spans="2:11">
      <c r="B42" t="s">
        <v>121</v>
      </c>
      <c r="C42">
        <v>50</v>
      </c>
      <c r="D42">
        <v>1443</v>
      </c>
      <c r="E42">
        <v>362.4</v>
      </c>
      <c r="F42">
        <v>362.4</v>
      </c>
      <c r="G42">
        <v>5</v>
      </c>
      <c r="H42">
        <v>1</v>
      </c>
      <c r="I42">
        <v>1725</v>
      </c>
      <c r="J42">
        <v>170.6</v>
      </c>
    </row>
    <row r="43" spans="2:11">
      <c r="B43" t="s">
        <v>121</v>
      </c>
      <c r="C43">
        <v>100</v>
      </c>
      <c r="D43">
        <v>5621</v>
      </c>
      <c r="E43">
        <v>827.3</v>
      </c>
      <c r="F43">
        <v>827.3</v>
      </c>
      <c r="G43">
        <v>10</v>
      </c>
      <c r="H43">
        <v>1</v>
      </c>
      <c r="I43">
        <v>4970</v>
      </c>
      <c r="J43">
        <v>1010.4</v>
      </c>
    </row>
    <row r="44" spans="2:11">
      <c r="B44" t="s">
        <v>122</v>
      </c>
      <c r="C44">
        <v>25</v>
      </c>
      <c r="D44">
        <v>431</v>
      </c>
      <c r="E44">
        <v>191.3</v>
      </c>
      <c r="F44">
        <v>191.3</v>
      </c>
      <c r="G44">
        <v>3</v>
      </c>
      <c r="H44">
        <v>1</v>
      </c>
      <c r="I44">
        <v>513</v>
      </c>
      <c r="J44">
        <v>43.1</v>
      </c>
    </row>
    <row r="45" spans="2:11">
      <c r="B45" t="s">
        <v>122</v>
      </c>
      <c r="C45">
        <v>50</v>
      </c>
      <c r="D45">
        <v>1643</v>
      </c>
      <c r="E45">
        <v>362.4</v>
      </c>
      <c r="F45">
        <v>362.4</v>
      </c>
      <c r="G45">
        <v>5</v>
      </c>
      <c r="H45">
        <v>1</v>
      </c>
      <c r="I45">
        <v>1605</v>
      </c>
      <c r="J45">
        <v>245.6</v>
      </c>
    </row>
    <row r="46" spans="2:11">
      <c r="B46" s="14" t="s">
        <v>122</v>
      </c>
      <c r="C46" s="14">
        <v>100</v>
      </c>
      <c r="D46" s="14">
        <v>6344</v>
      </c>
      <c r="E46" s="14">
        <v>827.3</v>
      </c>
      <c r="F46" s="14">
        <v>827.3</v>
      </c>
      <c r="G46" s="14">
        <v>10</v>
      </c>
      <c r="H46" s="14">
        <v>1</v>
      </c>
      <c r="I46" s="14">
        <v>4989</v>
      </c>
      <c r="J46" s="14">
        <v>1613.6</v>
      </c>
      <c r="K46" s="14"/>
    </row>
    <row r="47" spans="2:11">
      <c r="B47" t="s">
        <v>123</v>
      </c>
      <c r="C47">
        <v>25</v>
      </c>
      <c r="D47">
        <v>482</v>
      </c>
      <c r="E47">
        <v>189.4</v>
      </c>
      <c r="F47">
        <v>191.3</v>
      </c>
      <c r="G47">
        <v>3</v>
      </c>
      <c r="H47">
        <v>3</v>
      </c>
      <c r="I47">
        <v>1747</v>
      </c>
      <c r="J47">
        <v>585.4</v>
      </c>
    </row>
    <row r="49" spans="2:10">
      <c r="B49" t="s">
        <v>124</v>
      </c>
      <c r="C49">
        <v>25</v>
      </c>
      <c r="D49">
        <v>277</v>
      </c>
      <c r="E49">
        <v>405.1</v>
      </c>
      <c r="F49">
        <v>461.1</v>
      </c>
      <c r="G49">
        <v>4</v>
      </c>
      <c r="H49">
        <v>99</v>
      </c>
      <c r="I49">
        <v>6399</v>
      </c>
      <c r="J49">
        <v>225.4</v>
      </c>
    </row>
    <row r="50" spans="2:10">
      <c r="B50" t="s">
        <v>125</v>
      </c>
      <c r="C50">
        <v>25</v>
      </c>
      <c r="D50">
        <v>408</v>
      </c>
      <c r="E50">
        <v>346</v>
      </c>
      <c r="F50">
        <v>346</v>
      </c>
      <c r="G50">
        <v>3</v>
      </c>
      <c r="H50">
        <v>1</v>
      </c>
      <c r="I50">
        <v>255</v>
      </c>
      <c r="J50">
        <v>18.100000000000001</v>
      </c>
    </row>
    <row r="51" spans="2:10">
      <c r="B51" t="s">
        <v>126</v>
      </c>
      <c r="C51">
        <v>25</v>
      </c>
      <c r="D51">
        <v>518</v>
      </c>
      <c r="E51">
        <v>332.1</v>
      </c>
      <c r="F51">
        <v>332.8</v>
      </c>
      <c r="G51">
        <v>3</v>
      </c>
      <c r="H51">
        <v>5</v>
      </c>
      <c r="I51">
        <v>953</v>
      </c>
      <c r="J51">
        <v>103</v>
      </c>
    </row>
    <row r="52" spans="2:10">
      <c r="B52" t="s">
        <v>127</v>
      </c>
      <c r="C52">
        <v>25</v>
      </c>
      <c r="D52">
        <v>564</v>
      </c>
      <c r="E52">
        <v>305.89999999999998</v>
      </c>
      <c r="F52">
        <v>306.60000000000002</v>
      </c>
      <c r="G52">
        <v>3</v>
      </c>
      <c r="H52">
        <v>6</v>
      </c>
      <c r="I52">
        <v>1273</v>
      </c>
      <c r="J52">
        <v>177.9</v>
      </c>
    </row>
    <row r="53" spans="2:10">
      <c r="B53" t="s">
        <v>128</v>
      </c>
      <c r="C53">
        <v>25</v>
      </c>
      <c r="D53">
        <v>372</v>
      </c>
      <c r="E53">
        <v>411</v>
      </c>
      <c r="F53">
        <v>411.3</v>
      </c>
      <c r="G53">
        <v>4</v>
      </c>
      <c r="H53">
        <v>5</v>
      </c>
      <c r="I53">
        <v>488</v>
      </c>
      <c r="J53">
        <v>37.4</v>
      </c>
    </row>
    <row r="54" spans="2:10">
      <c r="B54" t="s">
        <v>129</v>
      </c>
      <c r="C54">
        <v>25</v>
      </c>
      <c r="D54">
        <v>388</v>
      </c>
      <c r="E54">
        <v>338.3</v>
      </c>
      <c r="F54">
        <v>345.5</v>
      </c>
      <c r="G54">
        <v>3</v>
      </c>
      <c r="H54">
        <v>27</v>
      </c>
      <c r="I54">
        <v>2064</v>
      </c>
      <c r="J54">
        <v>248.4</v>
      </c>
    </row>
    <row r="55" spans="2:10">
      <c r="B55" t="s">
        <v>130</v>
      </c>
      <c r="C55">
        <v>25</v>
      </c>
      <c r="D55">
        <v>513</v>
      </c>
      <c r="E55">
        <v>293.3</v>
      </c>
      <c r="F55">
        <v>298.3</v>
      </c>
      <c r="G55">
        <v>3</v>
      </c>
      <c r="H55">
        <v>3</v>
      </c>
      <c r="I55">
        <v>473</v>
      </c>
      <c r="J55">
        <v>113.9</v>
      </c>
    </row>
    <row r="56" spans="2:10">
      <c r="B56" t="s">
        <v>131</v>
      </c>
      <c r="C56">
        <v>25</v>
      </c>
      <c r="D56">
        <v>617</v>
      </c>
      <c r="E56">
        <v>280.3</v>
      </c>
      <c r="F56">
        <v>294.5</v>
      </c>
      <c r="G56">
        <v>3</v>
      </c>
      <c r="H56">
        <v>11</v>
      </c>
      <c r="I56">
        <v>1126</v>
      </c>
      <c r="J56">
        <v>256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1E029-33AE-4694-9F05-9221CFB3B72E}">
  <dimension ref="B4:Y48"/>
  <sheetViews>
    <sheetView workbookViewId="0">
      <selection activeCell="T32" sqref="T32:Y48"/>
    </sheetView>
  </sheetViews>
  <sheetFormatPr defaultRowHeight="14.4"/>
  <cols>
    <col min="3" max="3" width="17.88671875" bestFit="1" customWidth="1"/>
    <col min="9" max="12" width="0" hidden="1" customWidth="1"/>
    <col min="22" max="22" width="11.5546875" bestFit="1" customWidth="1"/>
  </cols>
  <sheetData>
    <row r="4" spans="2:25">
      <c r="B4" t="s">
        <v>155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T4" t="s">
        <v>49</v>
      </c>
      <c r="V4" t="s">
        <v>265</v>
      </c>
    </row>
    <row r="5" spans="2:25">
      <c r="B5" s="1" t="s">
        <v>0</v>
      </c>
      <c r="C5" t="s">
        <v>215</v>
      </c>
      <c r="D5">
        <v>0</v>
      </c>
      <c r="E5">
        <v>0</v>
      </c>
      <c r="F5">
        <v>10</v>
      </c>
      <c r="G5">
        <v>25</v>
      </c>
      <c r="H5">
        <v>27</v>
      </c>
      <c r="I5">
        <v>3</v>
      </c>
      <c r="J5">
        <v>200</v>
      </c>
      <c r="K5">
        <v>0</v>
      </c>
      <c r="L5" t="s">
        <v>1</v>
      </c>
      <c r="M5">
        <v>168.2456</v>
      </c>
      <c r="N5">
        <v>191.3</v>
      </c>
      <c r="O5">
        <v>191.3</v>
      </c>
      <c r="P5">
        <v>0</v>
      </c>
      <c r="Q5">
        <v>1</v>
      </c>
      <c r="R5">
        <v>1</v>
      </c>
      <c r="T5">
        <v>996</v>
      </c>
      <c r="U5" t="s">
        <v>228</v>
      </c>
      <c r="V5">
        <v>4</v>
      </c>
      <c r="W5" t="s">
        <v>135</v>
      </c>
      <c r="X5" t="s">
        <v>136</v>
      </c>
      <c r="Y5" s="2">
        <v>46119.182766203703</v>
      </c>
    </row>
    <row r="6" spans="2:25">
      <c r="B6" s="1" t="s">
        <v>0</v>
      </c>
      <c r="C6" t="s">
        <v>215</v>
      </c>
      <c r="D6">
        <v>0</v>
      </c>
      <c r="E6">
        <v>0</v>
      </c>
      <c r="F6">
        <v>10</v>
      </c>
      <c r="G6">
        <v>25</v>
      </c>
      <c r="H6">
        <v>27</v>
      </c>
      <c r="I6">
        <v>3</v>
      </c>
      <c r="J6">
        <v>200</v>
      </c>
      <c r="K6">
        <v>0</v>
      </c>
      <c r="L6" t="s">
        <v>1</v>
      </c>
      <c r="M6">
        <v>263.952</v>
      </c>
      <c r="N6">
        <v>191.3</v>
      </c>
      <c r="O6">
        <v>191.3</v>
      </c>
      <c r="P6">
        <v>0</v>
      </c>
      <c r="Q6">
        <v>1</v>
      </c>
      <c r="R6">
        <v>1</v>
      </c>
      <c r="T6">
        <v>1446</v>
      </c>
      <c r="U6" t="s">
        <v>231</v>
      </c>
      <c r="V6">
        <v>4</v>
      </c>
      <c r="W6" t="s">
        <v>135</v>
      </c>
      <c r="X6" t="s">
        <v>135</v>
      </c>
      <c r="Y6" s="2">
        <v>46119.18582175926</v>
      </c>
    </row>
    <row r="7" spans="2:25">
      <c r="B7" s="1" t="s">
        <v>0</v>
      </c>
      <c r="C7" t="s">
        <v>215</v>
      </c>
      <c r="D7">
        <v>0</v>
      </c>
      <c r="E7">
        <v>0</v>
      </c>
      <c r="F7">
        <v>10</v>
      </c>
      <c r="G7">
        <v>25</v>
      </c>
      <c r="H7">
        <v>27</v>
      </c>
      <c r="I7">
        <v>3</v>
      </c>
      <c r="J7">
        <v>200</v>
      </c>
      <c r="K7">
        <v>0</v>
      </c>
      <c r="L7" t="s">
        <v>1</v>
      </c>
      <c r="M7">
        <v>163.5549</v>
      </c>
      <c r="N7">
        <v>191.3</v>
      </c>
      <c r="O7">
        <v>191.3</v>
      </c>
      <c r="P7">
        <v>0</v>
      </c>
      <c r="Q7">
        <v>1</v>
      </c>
      <c r="R7">
        <v>1</v>
      </c>
      <c r="T7">
        <v>996</v>
      </c>
      <c r="U7" t="s">
        <v>228</v>
      </c>
      <c r="V7">
        <v>6</v>
      </c>
      <c r="W7" t="s">
        <v>135</v>
      </c>
      <c r="X7" t="s">
        <v>136</v>
      </c>
      <c r="Y7" s="2">
        <v>46119.187719907408</v>
      </c>
    </row>
    <row r="8" spans="2:25">
      <c r="B8" s="1" t="s">
        <v>0</v>
      </c>
      <c r="C8" t="s">
        <v>215</v>
      </c>
      <c r="D8">
        <v>0</v>
      </c>
      <c r="E8">
        <v>0</v>
      </c>
      <c r="F8">
        <v>10</v>
      </c>
      <c r="G8">
        <v>25</v>
      </c>
      <c r="H8">
        <v>27</v>
      </c>
      <c r="I8">
        <v>3</v>
      </c>
      <c r="J8">
        <v>200</v>
      </c>
      <c r="K8">
        <v>0</v>
      </c>
      <c r="L8" t="s">
        <v>1</v>
      </c>
      <c r="M8">
        <v>286.01760000000002</v>
      </c>
      <c r="N8">
        <v>191.3</v>
      </c>
      <c r="O8">
        <v>191.3</v>
      </c>
      <c r="P8">
        <v>0</v>
      </c>
      <c r="Q8">
        <v>1</v>
      </c>
      <c r="R8">
        <v>1</v>
      </c>
      <c r="T8">
        <v>1446</v>
      </c>
      <c r="U8" t="s">
        <v>231</v>
      </c>
      <c r="V8">
        <v>6</v>
      </c>
      <c r="W8" t="s">
        <v>135</v>
      </c>
      <c r="X8" t="s">
        <v>135</v>
      </c>
      <c r="Y8" s="2">
        <v>46119.191030092596</v>
      </c>
    </row>
    <row r="9" spans="2:25">
      <c r="B9" s="1" t="s">
        <v>0</v>
      </c>
      <c r="C9" t="s">
        <v>216</v>
      </c>
      <c r="D9">
        <v>0</v>
      </c>
      <c r="E9">
        <v>0</v>
      </c>
      <c r="F9">
        <v>10</v>
      </c>
      <c r="G9">
        <v>25</v>
      </c>
      <c r="H9">
        <v>27</v>
      </c>
      <c r="I9">
        <v>3</v>
      </c>
      <c r="J9">
        <v>200</v>
      </c>
      <c r="K9">
        <v>0</v>
      </c>
      <c r="L9" t="s">
        <v>1</v>
      </c>
      <c r="M9">
        <v>457.35050000000001</v>
      </c>
      <c r="N9">
        <v>190.3</v>
      </c>
      <c r="O9">
        <v>190.3</v>
      </c>
      <c r="P9">
        <v>0</v>
      </c>
      <c r="Q9">
        <v>1</v>
      </c>
      <c r="R9">
        <v>1</v>
      </c>
      <c r="T9">
        <v>2001</v>
      </c>
      <c r="U9" t="s">
        <v>228</v>
      </c>
      <c r="V9">
        <v>2</v>
      </c>
      <c r="W9" t="s">
        <v>139</v>
      </c>
      <c r="X9" t="s">
        <v>139</v>
      </c>
      <c r="Y9" s="2">
        <v>46119.20784722222</v>
      </c>
    </row>
    <row r="10" spans="2:25">
      <c r="B10" s="1" t="s">
        <v>0</v>
      </c>
      <c r="C10" t="s">
        <v>216</v>
      </c>
      <c r="D10">
        <v>0</v>
      </c>
      <c r="E10">
        <v>0</v>
      </c>
      <c r="F10">
        <v>10</v>
      </c>
      <c r="G10">
        <v>25</v>
      </c>
      <c r="H10">
        <v>27</v>
      </c>
      <c r="I10">
        <v>3</v>
      </c>
      <c r="J10">
        <v>200</v>
      </c>
      <c r="K10">
        <v>0</v>
      </c>
      <c r="L10" t="s">
        <v>1</v>
      </c>
      <c r="M10">
        <v>435.18950000000001</v>
      </c>
      <c r="N10">
        <v>190.3</v>
      </c>
      <c r="O10">
        <v>190.3</v>
      </c>
      <c r="P10">
        <v>0</v>
      </c>
      <c r="Q10">
        <v>1</v>
      </c>
      <c r="R10">
        <v>1</v>
      </c>
      <c r="T10">
        <v>2574</v>
      </c>
      <c r="U10" t="s">
        <v>231</v>
      </c>
      <c r="V10">
        <v>2</v>
      </c>
      <c r="W10" t="s">
        <v>139</v>
      </c>
      <c r="X10" t="s">
        <v>139</v>
      </c>
      <c r="Y10" s="2">
        <v>46119.212881944448</v>
      </c>
    </row>
    <row r="11" spans="2:25">
      <c r="B11" s="1" t="s">
        <v>0</v>
      </c>
      <c r="C11" t="s">
        <v>216</v>
      </c>
      <c r="D11">
        <v>0</v>
      </c>
      <c r="E11">
        <v>0</v>
      </c>
      <c r="F11">
        <v>10</v>
      </c>
      <c r="G11">
        <v>25</v>
      </c>
      <c r="H11">
        <v>27</v>
      </c>
      <c r="I11">
        <v>3</v>
      </c>
      <c r="J11">
        <v>200</v>
      </c>
      <c r="K11">
        <v>0</v>
      </c>
      <c r="L11" t="s">
        <v>1</v>
      </c>
      <c r="M11">
        <v>408.57299999999998</v>
      </c>
      <c r="N11">
        <v>190.3</v>
      </c>
      <c r="O11">
        <v>190.3</v>
      </c>
      <c r="P11">
        <v>0</v>
      </c>
      <c r="Q11">
        <v>1</v>
      </c>
      <c r="R11">
        <v>1</v>
      </c>
      <c r="T11">
        <v>2001</v>
      </c>
      <c r="U11" t="s">
        <v>228</v>
      </c>
      <c r="V11">
        <v>4</v>
      </c>
      <c r="W11" t="s">
        <v>139</v>
      </c>
      <c r="X11" t="s">
        <v>139</v>
      </c>
      <c r="Y11" s="2">
        <v>46119.217604166668</v>
      </c>
    </row>
    <row r="12" spans="2:25">
      <c r="B12" s="1" t="s">
        <v>0</v>
      </c>
      <c r="C12" t="s">
        <v>216</v>
      </c>
      <c r="D12">
        <v>0</v>
      </c>
      <c r="E12">
        <v>0</v>
      </c>
      <c r="F12">
        <v>10</v>
      </c>
      <c r="G12">
        <v>25</v>
      </c>
      <c r="H12">
        <v>27</v>
      </c>
      <c r="I12">
        <v>3</v>
      </c>
      <c r="J12">
        <v>200</v>
      </c>
      <c r="K12">
        <v>0</v>
      </c>
      <c r="L12" t="s">
        <v>1</v>
      </c>
      <c r="M12">
        <v>434.90230000000003</v>
      </c>
      <c r="N12">
        <v>190.3</v>
      </c>
      <c r="O12">
        <v>190.3</v>
      </c>
      <c r="P12">
        <v>0</v>
      </c>
      <c r="Q12">
        <v>1</v>
      </c>
      <c r="R12">
        <v>1</v>
      </c>
      <c r="T12">
        <v>2574</v>
      </c>
      <c r="U12" t="s">
        <v>231</v>
      </c>
      <c r="V12">
        <v>4</v>
      </c>
      <c r="W12" t="s">
        <v>139</v>
      </c>
      <c r="X12" t="s">
        <v>139</v>
      </c>
      <c r="Y12" s="2">
        <v>46119.222638888888</v>
      </c>
    </row>
    <row r="13" spans="2:25">
      <c r="B13" s="1" t="s">
        <v>0</v>
      </c>
      <c r="C13" t="s">
        <v>216</v>
      </c>
      <c r="D13">
        <v>0</v>
      </c>
      <c r="E13">
        <v>0</v>
      </c>
      <c r="F13">
        <v>10</v>
      </c>
      <c r="G13">
        <v>25</v>
      </c>
      <c r="H13">
        <v>27</v>
      </c>
      <c r="I13">
        <v>3</v>
      </c>
      <c r="J13">
        <v>200</v>
      </c>
      <c r="K13">
        <v>0</v>
      </c>
      <c r="L13" t="s">
        <v>1</v>
      </c>
      <c r="M13">
        <v>407.70310000000001</v>
      </c>
      <c r="N13">
        <v>190.3</v>
      </c>
      <c r="O13">
        <v>190.3</v>
      </c>
      <c r="P13">
        <v>0</v>
      </c>
      <c r="Q13">
        <v>1</v>
      </c>
      <c r="R13">
        <v>1</v>
      </c>
      <c r="T13">
        <v>2001</v>
      </c>
      <c r="U13" t="s">
        <v>228</v>
      </c>
      <c r="V13">
        <v>6</v>
      </c>
      <c r="W13" t="s">
        <v>139</v>
      </c>
      <c r="X13" t="s">
        <v>139</v>
      </c>
      <c r="Y13" s="2">
        <v>46119.227361111109</v>
      </c>
    </row>
    <row r="14" spans="2:25">
      <c r="B14" s="1" t="s">
        <v>0</v>
      </c>
      <c r="C14" t="s">
        <v>216</v>
      </c>
      <c r="D14">
        <v>0</v>
      </c>
      <c r="E14">
        <v>0</v>
      </c>
      <c r="F14">
        <v>10</v>
      </c>
      <c r="G14">
        <v>25</v>
      </c>
      <c r="H14">
        <v>27</v>
      </c>
      <c r="I14">
        <v>3</v>
      </c>
      <c r="J14">
        <v>200</v>
      </c>
      <c r="K14">
        <v>0</v>
      </c>
      <c r="L14" t="s">
        <v>1</v>
      </c>
      <c r="M14">
        <v>433.9203</v>
      </c>
      <c r="N14">
        <v>190.3</v>
      </c>
      <c r="O14">
        <v>190.3</v>
      </c>
      <c r="P14">
        <v>0</v>
      </c>
      <c r="Q14">
        <v>1</v>
      </c>
      <c r="R14">
        <v>1</v>
      </c>
      <c r="T14">
        <v>2574</v>
      </c>
      <c r="U14" t="s">
        <v>231</v>
      </c>
      <c r="V14">
        <v>6</v>
      </c>
      <c r="W14" t="s">
        <v>139</v>
      </c>
      <c r="X14" t="s">
        <v>139</v>
      </c>
      <c r="Y14" s="2">
        <v>46119.23238425926</v>
      </c>
    </row>
    <row r="15" spans="2:25">
      <c r="B15" s="1" t="s">
        <v>0</v>
      </c>
      <c r="C15" t="s">
        <v>216</v>
      </c>
      <c r="D15">
        <v>0</v>
      </c>
      <c r="E15">
        <v>0</v>
      </c>
      <c r="F15">
        <v>10</v>
      </c>
      <c r="G15">
        <v>25</v>
      </c>
      <c r="H15">
        <v>27</v>
      </c>
      <c r="I15">
        <v>3</v>
      </c>
      <c r="J15">
        <v>200</v>
      </c>
      <c r="K15">
        <v>0</v>
      </c>
      <c r="L15" t="s">
        <v>1</v>
      </c>
      <c r="M15">
        <v>407.03039999999999</v>
      </c>
      <c r="N15">
        <v>190.3</v>
      </c>
      <c r="O15">
        <v>190.3</v>
      </c>
      <c r="P15">
        <v>0</v>
      </c>
      <c r="Q15">
        <v>1</v>
      </c>
      <c r="R15">
        <v>1</v>
      </c>
      <c r="T15">
        <v>2001</v>
      </c>
      <c r="U15" t="s">
        <v>228</v>
      </c>
      <c r="V15">
        <v>8</v>
      </c>
      <c r="W15" t="s">
        <v>139</v>
      </c>
      <c r="X15" t="s">
        <v>139</v>
      </c>
      <c r="Y15" s="2">
        <v>46119.23709490741</v>
      </c>
    </row>
    <row r="16" spans="2:25">
      <c r="B16" s="1" t="s">
        <v>0</v>
      </c>
      <c r="C16" t="s">
        <v>216</v>
      </c>
      <c r="D16">
        <v>0</v>
      </c>
      <c r="E16">
        <v>0</v>
      </c>
      <c r="F16">
        <v>10</v>
      </c>
      <c r="G16">
        <v>25</v>
      </c>
      <c r="H16">
        <v>27</v>
      </c>
      <c r="I16">
        <v>3</v>
      </c>
      <c r="J16">
        <v>200</v>
      </c>
      <c r="K16">
        <v>0</v>
      </c>
      <c r="L16" t="s">
        <v>1</v>
      </c>
      <c r="M16">
        <v>434.16160000000002</v>
      </c>
      <c r="N16">
        <v>190.3</v>
      </c>
      <c r="O16">
        <v>190.3</v>
      </c>
      <c r="P16">
        <v>0</v>
      </c>
      <c r="Q16">
        <v>1</v>
      </c>
      <c r="R16">
        <v>1</v>
      </c>
      <c r="T16">
        <v>2574</v>
      </c>
      <c r="U16" t="s">
        <v>231</v>
      </c>
      <c r="V16">
        <v>8</v>
      </c>
      <c r="W16" t="s">
        <v>139</v>
      </c>
      <c r="X16" t="s">
        <v>139</v>
      </c>
      <c r="Y16" s="2">
        <v>46119.242118055554</v>
      </c>
    </row>
    <row r="17" spans="2:25">
      <c r="B17" s="1" t="s">
        <v>0</v>
      </c>
      <c r="C17" t="s">
        <v>217</v>
      </c>
      <c r="D17">
        <v>0</v>
      </c>
      <c r="E17">
        <v>0</v>
      </c>
      <c r="F17">
        <v>10</v>
      </c>
      <c r="G17">
        <v>25</v>
      </c>
      <c r="H17">
        <v>27</v>
      </c>
      <c r="I17">
        <v>3</v>
      </c>
      <c r="J17">
        <v>200</v>
      </c>
      <c r="K17">
        <v>0</v>
      </c>
      <c r="L17" t="s">
        <v>1</v>
      </c>
      <c r="M17">
        <v>543.86410000000001</v>
      </c>
      <c r="N17">
        <v>190.3</v>
      </c>
      <c r="O17">
        <v>190.3</v>
      </c>
      <c r="P17">
        <v>0</v>
      </c>
      <c r="Q17">
        <v>1</v>
      </c>
      <c r="R17">
        <v>1</v>
      </c>
      <c r="T17">
        <v>1653</v>
      </c>
      <c r="U17" t="s">
        <v>228</v>
      </c>
      <c r="V17">
        <v>2</v>
      </c>
      <c r="W17" t="s">
        <v>141</v>
      </c>
      <c r="X17" t="s">
        <v>264</v>
      </c>
      <c r="Y17" s="2">
        <v>46119.249108796299</v>
      </c>
    </row>
    <row r="18" spans="2:25">
      <c r="B18" s="1" t="s">
        <v>0</v>
      </c>
      <c r="C18" t="s">
        <v>217</v>
      </c>
      <c r="D18">
        <v>0</v>
      </c>
      <c r="E18">
        <v>0</v>
      </c>
      <c r="F18">
        <v>10</v>
      </c>
      <c r="G18">
        <v>25</v>
      </c>
      <c r="H18">
        <v>27</v>
      </c>
      <c r="I18">
        <v>3</v>
      </c>
      <c r="J18">
        <v>200</v>
      </c>
      <c r="K18">
        <v>0</v>
      </c>
      <c r="L18" t="s">
        <v>1</v>
      </c>
      <c r="M18">
        <v>469.8999</v>
      </c>
      <c r="N18">
        <v>190.3</v>
      </c>
      <c r="O18">
        <v>190.3</v>
      </c>
      <c r="P18">
        <v>0</v>
      </c>
      <c r="Q18">
        <v>1</v>
      </c>
      <c r="R18">
        <v>1</v>
      </c>
      <c r="T18">
        <v>2034</v>
      </c>
      <c r="U18" t="s">
        <v>231</v>
      </c>
      <c r="V18">
        <v>2</v>
      </c>
      <c r="W18" t="s">
        <v>141</v>
      </c>
      <c r="X18" t="s">
        <v>264</v>
      </c>
      <c r="Y18" s="2">
        <v>46119.254548611112</v>
      </c>
    </row>
    <row r="19" spans="2:25">
      <c r="B19" s="1" t="s">
        <v>0</v>
      </c>
      <c r="C19" t="s">
        <v>217</v>
      </c>
      <c r="D19">
        <v>0</v>
      </c>
      <c r="E19">
        <v>0</v>
      </c>
      <c r="F19">
        <v>10</v>
      </c>
      <c r="G19">
        <v>25</v>
      </c>
      <c r="H19">
        <v>27</v>
      </c>
      <c r="I19">
        <v>3</v>
      </c>
      <c r="J19">
        <v>200</v>
      </c>
      <c r="K19">
        <v>0</v>
      </c>
      <c r="L19" t="s">
        <v>1</v>
      </c>
      <c r="M19">
        <v>543.54290000000003</v>
      </c>
      <c r="N19">
        <v>190.3</v>
      </c>
      <c r="O19">
        <v>190.3</v>
      </c>
      <c r="P19">
        <v>0</v>
      </c>
      <c r="Q19">
        <v>1</v>
      </c>
      <c r="R19">
        <v>1</v>
      </c>
      <c r="T19">
        <v>1653</v>
      </c>
      <c r="U19" t="s">
        <v>228</v>
      </c>
      <c r="V19">
        <v>4</v>
      </c>
      <c r="W19" t="s">
        <v>141</v>
      </c>
      <c r="X19" t="s">
        <v>264</v>
      </c>
      <c r="Y19" s="2">
        <v>46119.260844907411</v>
      </c>
    </row>
    <row r="20" spans="2:25">
      <c r="B20" s="1" t="s">
        <v>0</v>
      </c>
      <c r="C20" t="s">
        <v>217</v>
      </c>
      <c r="D20">
        <v>0</v>
      </c>
      <c r="E20">
        <v>0</v>
      </c>
      <c r="F20">
        <v>10</v>
      </c>
      <c r="G20">
        <v>25</v>
      </c>
      <c r="H20">
        <v>27</v>
      </c>
      <c r="I20">
        <v>3</v>
      </c>
      <c r="J20">
        <v>200</v>
      </c>
      <c r="K20">
        <v>0</v>
      </c>
      <c r="L20" t="s">
        <v>1</v>
      </c>
      <c r="M20">
        <v>471.80619999999999</v>
      </c>
      <c r="N20">
        <v>190.3</v>
      </c>
      <c r="O20">
        <v>190.3</v>
      </c>
      <c r="P20">
        <v>0</v>
      </c>
      <c r="Q20">
        <v>1</v>
      </c>
      <c r="R20">
        <v>1</v>
      </c>
      <c r="T20">
        <v>2034</v>
      </c>
      <c r="U20" t="s">
        <v>231</v>
      </c>
      <c r="V20">
        <v>4</v>
      </c>
      <c r="W20" t="s">
        <v>141</v>
      </c>
      <c r="X20" t="s">
        <v>264</v>
      </c>
      <c r="Y20" s="2">
        <v>46119.26630787037</v>
      </c>
    </row>
    <row r="21" spans="2:25">
      <c r="B21" s="1" t="s">
        <v>0</v>
      </c>
      <c r="C21" t="s">
        <v>217</v>
      </c>
      <c r="D21">
        <v>0</v>
      </c>
      <c r="E21">
        <v>0</v>
      </c>
      <c r="F21">
        <v>10</v>
      </c>
      <c r="G21">
        <v>25</v>
      </c>
      <c r="H21">
        <v>27</v>
      </c>
      <c r="I21">
        <v>3</v>
      </c>
      <c r="J21">
        <v>200</v>
      </c>
      <c r="K21">
        <v>0</v>
      </c>
      <c r="L21" t="s">
        <v>1</v>
      </c>
      <c r="M21">
        <v>544.10820000000001</v>
      </c>
      <c r="N21">
        <v>190.3</v>
      </c>
      <c r="O21">
        <v>190.3</v>
      </c>
      <c r="P21">
        <v>0</v>
      </c>
      <c r="Q21">
        <v>1</v>
      </c>
      <c r="R21">
        <v>1</v>
      </c>
      <c r="T21">
        <v>1653</v>
      </c>
      <c r="U21" t="s">
        <v>228</v>
      </c>
      <c r="V21">
        <v>6</v>
      </c>
      <c r="W21" t="s">
        <v>141</v>
      </c>
      <c r="X21" t="s">
        <v>264</v>
      </c>
      <c r="Y21" s="2">
        <v>46119.272604166668</v>
      </c>
    </row>
    <row r="22" spans="2:25">
      <c r="B22" s="1" t="s">
        <v>0</v>
      </c>
      <c r="C22" t="s">
        <v>217</v>
      </c>
      <c r="D22">
        <v>0</v>
      </c>
      <c r="E22">
        <v>0</v>
      </c>
      <c r="F22">
        <v>10</v>
      </c>
      <c r="G22">
        <v>25</v>
      </c>
      <c r="H22">
        <v>27</v>
      </c>
      <c r="I22">
        <v>3</v>
      </c>
      <c r="J22">
        <v>200</v>
      </c>
      <c r="K22">
        <v>0</v>
      </c>
      <c r="L22" t="s">
        <v>1</v>
      </c>
      <c r="M22">
        <v>473.05680000000001</v>
      </c>
      <c r="N22">
        <v>190.3</v>
      </c>
      <c r="O22">
        <v>190.3</v>
      </c>
      <c r="P22">
        <v>0</v>
      </c>
      <c r="Q22">
        <v>1</v>
      </c>
      <c r="R22">
        <v>1</v>
      </c>
      <c r="T22">
        <v>2034</v>
      </c>
      <c r="U22" t="s">
        <v>231</v>
      </c>
      <c r="V22">
        <v>6</v>
      </c>
      <c r="W22" t="s">
        <v>141</v>
      </c>
      <c r="X22" t="s">
        <v>264</v>
      </c>
      <c r="Y22" s="2">
        <v>46119.278078703705</v>
      </c>
    </row>
    <row r="23" spans="2:25">
      <c r="B23" s="1" t="s">
        <v>0</v>
      </c>
      <c r="C23" t="s">
        <v>217</v>
      </c>
      <c r="D23">
        <v>0</v>
      </c>
      <c r="E23">
        <v>0</v>
      </c>
      <c r="F23">
        <v>10</v>
      </c>
      <c r="G23">
        <v>25</v>
      </c>
      <c r="H23">
        <v>27</v>
      </c>
      <c r="I23">
        <v>3</v>
      </c>
      <c r="J23">
        <v>200</v>
      </c>
      <c r="K23">
        <v>0</v>
      </c>
      <c r="L23" t="s">
        <v>1</v>
      </c>
      <c r="M23">
        <v>545.13220000000001</v>
      </c>
      <c r="N23">
        <v>190.3</v>
      </c>
      <c r="O23">
        <v>190.3</v>
      </c>
      <c r="P23">
        <v>0</v>
      </c>
      <c r="Q23">
        <v>1</v>
      </c>
      <c r="R23">
        <v>1</v>
      </c>
      <c r="T23">
        <v>1653</v>
      </c>
      <c r="U23" t="s">
        <v>228</v>
      </c>
      <c r="V23">
        <v>8</v>
      </c>
      <c r="W23" t="s">
        <v>141</v>
      </c>
      <c r="X23" t="s">
        <v>264</v>
      </c>
      <c r="Y23" s="2">
        <v>46119.284386574072</v>
      </c>
    </row>
    <row r="24" spans="2:25">
      <c r="B24" s="1" t="s">
        <v>0</v>
      </c>
      <c r="C24" t="s">
        <v>217</v>
      </c>
      <c r="D24">
        <v>0</v>
      </c>
      <c r="E24">
        <v>0</v>
      </c>
      <c r="F24">
        <v>10</v>
      </c>
      <c r="G24">
        <v>25</v>
      </c>
      <c r="H24">
        <v>27</v>
      </c>
      <c r="I24">
        <v>3</v>
      </c>
      <c r="J24">
        <v>200</v>
      </c>
      <c r="K24">
        <v>0</v>
      </c>
      <c r="L24" t="s">
        <v>1</v>
      </c>
      <c r="M24">
        <v>470.68299999999999</v>
      </c>
      <c r="N24">
        <v>190.3</v>
      </c>
      <c r="O24">
        <v>190.3</v>
      </c>
      <c r="P24">
        <v>0</v>
      </c>
      <c r="Q24">
        <v>1</v>
      </c>
      <c r="R24">
        <v>1</v>
      </c>
      <c r="T24">
        <v>2034</v>
      </c>
      <c r="U24" t="s">
        <v>231</v>
      </c>
      <c r="V24">
        <v>8</v>
      </c>
      <c r="W24" t="s">
        <v>141</v>
      </c>
      <c r="X24" t="s">
        <v>264</v>
      </c>
      <c r="Y24" s="2">
        <v>46119.289837962962</v>
      </c>
    </row>
    <row r="25" spans="2:25">
      <c r="B25" s="1" t="s">
        <v>0</v>
      </c>
      <c r="C25" t="s">
        <v>218</v>
      </c>
      <c r="D25">
        <v>0</v>
      </c>
      <c r="E25">
        <v>0</v>
      </c>
      <c r="F25">
        <v>10</v>
      </c>
      <c r="G25">
        <v>25</v>
      </c>
      <c r="H25">
        <v>27</v>
      </c>
      <c r="I25">
        <v>3</v>
      </c>
      <c r="J25">
        <v>200</v>
      </c>
      <c r="K25">
        <v>0</v>
      </c>
      <c r="L25" t="s">
        <v>1</v>
      </c>
      <c r="M25">
        <v>452.12279999999998</v>
      </c>
      <c r="N25">
        <v>186.9</v>
      </c>
      <c r="O25">
        <v>186.9</v>
      </c>
      <c r="P25">
        <v>0</v>
      </c>
      <c r="Q25">
        <v>1</v>
      </c>
      <c r="R25">
        <v>1</v>
      </c>
      <c r="T25">
        <v>1755</v>
      </c>
      <c r="U25" t="s">
        <v>228</v>
      </c>
      <c r="V25">
        <v>2</v>
      </c>
      <c r="W25" t="s">
        <v>143</v>
      </c>
      <c r="X25" t="s">
        <v>143</v>
      </c>
      <c r="Y25" s="2">
        <v>46119.295763888891</v>
      </c>
    </row>
    <row r="26" spans="2:25">
      <c r="B26" s="1" t="s">
        <v>0</v>
      </c>
      <c r="C26" t="s">
        <v>218</v>
      </c>
      <c r="D26">
        <v>0</v>
      </c>
      <c r="E26">
        <v>0</v>
      </c>
      <c r="F26">
        <v>10</v>
      </c>
      <c r="G26">
        <v>25</v>
      </c>
      <c r="H26">
        <v>27</v>
      </c>
      <c r="I26">
        <v>3</v>
      </c>
      <c r="J26">
        <v>200</v>
      </c>
      <c r="K26">
        <v>0</v>
      </c>
      <c r="L26" t="s">
        <v>1</v>
      </c>
      <c r="M26">
        <v>1739.5288</v>
      </c>
      <c r="N26">
        <v>186.9</v>
      </c>
      <c r="O26">
        <v>186.9</v>
      </c>
      <c r="P26">
        <v>0</v>
      </c>
      <c r="Q26">
        <v>1</v>
      </c>
      <c r="R26">
        <v>1</v>
      </c>
      <c r="T26">
        <v>2928</v>
      </c>
      <c r="U26" t="s">
        <v>231</v>
      </c>
      <c r="V26">
        <v>2</v>
      </c>
      <c r="W26" t="s">
        <v>143</v>
      </c>
      <c r="X26" t="s">
        <v>143</v>
      </c>
      <c r="Y26" s="2">
        <v>46119.31590277778</v>
      </c>
    </row>
    <row r="27" spans="2:25">
      <c r="B27" s="1" t="s">
        <v>0</v>
      </c>
      <c r="C27" t="s">
        <v>218</v>
      </c>
      <c r="D27">
        <v>0</v>
      </c>
      <c r="E27">
        <v>0</v>
      </c>
      <c r="F27">
        <v>10</v>
      </c>
      <c r="G27">
        <v>25</v>
      </c>
      <c r="H27">
        <v>27</v>
      </c>
      <c r="I27">
        <v>3</v>
      </c>
      <c r="J27">
        <v>200</v>
      </c>
      <c r="K27">
        <v>0</v>
      </c>
      <c r="L27" t="s">
        <v>1</v>
      </c>
      <c r="M27">
        <v>451.63290000000001</v>
      </c>
      <c r="N27">
        <v>186.9</v>
      </c>
      <c r="O27">
        <v>186.9</v>
      </c>
      <c r="P27">
        <v>0</v>
      </c>
      <c r="Q27">
        <v>1</v>
      </c>
      <c r="R27">
        <v>1</v>
      </c>
      <c r="T27">
        <v>1755</v>
      </c>
      <c r="U27" t="s">
        <v>228</v>
      </c>
      <c r="V27">
        <v>4</v>
      </c>
      <c r="W27" t="s">
        <v>143</v>
      </c>
      <c r="X27" t="s">
        <v>143</v>
      </c>
      <c r="Y27" s="2">
        <v>46119.321134259262</v>
      </c>
    </row>
    <row r="28" spans="2:25">
      <c r="B28" s="1" t="s">
        <v>0</v>
      </c>
      <c r="C28" t="s">
        <v>218</v>
      </c>
      <c r="D28">
        <v>0</v>
      </c>
      <c r="E28">
        <v>0</v>
      </c>
      <c r="F28">
        <v>10</v>
      </c>
      <c r="G28">
        <v>25</v>
      </c>
      <c r="H28">
        <v>27</v>
      </c>
      <c r="I28">
        <v>3</v>
      </c>
      <c r="J28">
        <v>200</v>
      </c>
      <c r="K28">
        <v>0</v>
      </c>
      <c r="L28" t="s">
        <v>1</v>
      </c>
      <c r="M28">
        <v>1755.2417</v>
      </c>
      <c r="N28">
        <v>186.9</v>
      </c>
      <c r="O28">
        <v>186.9</v>
      </c>
      <c r="P28">
        <v>0</v>
      </c>
      <c r="Q28">
        <v>1</v>
      </c>
      <c r="R28">
        <v>1</v>
      </c>
      <c r="T28">
        <v>2928</v>
      </c>
      <c r="U28" t="s">
        <v>231</v>
      </c>
      <c r="V28">
        <v>4</v>
      </c>
      <c r="W28" t="s">
        <v>143</v>
      </c>
      <c r="X28" t="s">
        <v>143</v>
      </c>
      <c r="Y28" s="2">
        <v>46119.341446759259</v>
      </c>
    </row>
    <row r="29" spans="2:25">
      <c r="B29" s="1" t="s">
        <v>0</v>
      </c>
      <c r="C29" t="s">
        <v>218</v>
      </c>
      <c r="D29">
        <v>0</v>
      </c>
      <c r="E29">
        <v>0</v>
      </c>
      <c r="F29">
        <v>10</v>
      </c>
      <c r="G29">
        <v>25</v>
      </c>
      <c r="H29">
        <v>27</v>
      </c>
      <c r="I29">
        <v>3</v>
      </c>
      <c r="J29">
        <v>200</v>
      </c>
      <c r="K29">
        <v>0</v>
      </c>
      <c r="L29" t="s">
        <v>1</v>
      </c>
      <c r="M29">
        <v>452.3297</v>
      </c>
      <c r="N29">
        <v>186.9</v>
      </c>
      <c r="O29">
        <v>186.9</v>
      </c>
      <c r="P29">
        <v>0</v>
      </c>
      <c r="Q29">
        <v>1</v>
      </c>
      <c r="R29">
        <v>1</v>
      </c>
      <c r="T29">
        <v>1755</v>
      </c>
      <c r="U29" t="s">
        <v>228</v>
      </c>
      <c r="V29">
        <v>6</v>
      </c>
      <c r="W29" t="s">
        <v>143</v>
      </c>
      <c r="X29" t="s">
        <v>143</v>
      </c>
      <c r="Y29" s="2">
        <v>46119.346678240741</v>
      </c>
    </row>
    <row r="30" spans="2:25">
      <c r="B30" s="1" t="s">
        <v>0</v>
      </c>
      <c r="C30" t="s">
        <v>218</v>
      </c>
      <c r="D30">
        <v>0</v>
      </c>
      <c r="E30">
        <v>0</v>
      </c>
      <c r="F30">
        <v>10</v>
      </c>
      <c r="G30">
        <v>25</v>
      </c>
      <c r="H30">
        <v>27</v>
      </c>
      <c r="I30">
        <v>3</v>
      </c>
      <c r="J30">
        <v>200</v>
      </c>
      <c r="K30">
        <v>0</v>
      </c>
      <c r="L30" t="s">
        <v>1</v>
      </c>
      <c r="M30">
        <v>1588.2439999999999</v>
      </c>
      <c r="N30">
        <v>186.9</v>
      </c>
      <c r="O30">
        <v>186.9</v>
      </c>
      <c r="P30">
        <v>0</v>
      </c>
      <c r="Q30">
        <v>1</v>
      </c>
      <c r="R30">
        <v>1</v>
      </c>
      <c r="T30">
        <v>2838</v>
      </c>
      <c r="U30" t="s">
        <v>231</v>
      </c>
      <c r="V30">
        <v>6</v>
      </c>
      <c r="W30" t="s">
        <v>143</v>
      </c>
      <c r="X30" t="s">
        <v>219</v>
      </c>
      <c r="Y30" s="2">
        <v>46119.365057870367</v>
      </c>
    </row>
    <row r="31" spans="2:25">
      <c r="B31" s="1" t="s">
        <v>0</v>
      </c>
      <c r="C31" t="s">
        <v>218</v>
      </c>
      <c r="D31">
        <v>0</v>
      </c>
      <c r="E31">
        <v>0</v>
      </c>
      <c r="F31">
        <v>10</v>
      </c>
      <c r="G31">
        <v>25</v>
      </c>
      <c r="H31">
        <v>27</v>
      </c>
      <c r="I31">
        <v>3</v>
      </c>
      <c r="J31">
        <v>200</v>
      </c>
      <c r="K31">
        <v>0</v>
      </c>
      <c r="L31" t="s">
        <v>1</v>
      </c>
      <c r="M31">
        <v>452.5872</v>
      </c>
      <c r="N31">
        <v>186.9</v>
      </c>
      <c r="O31">
        <v>186.9</v>
      </c>
      <c r="P31">
        <v>0</v>
      </c>
      <c r="Q31">
        <v>1</v>
      </c>
      <c r="R31">
        <v>1</v>
      </c>
      <c r="T31">
        <v>1755</v>
      </c>
      <c r="U31" t="s">
        <v>228</v>
      </c>
      <c r="V31">
        <v>8</v>
      </c>
      <c r="W31" t="s">
        <v>143</v>
      </c>
      <c r="X31" t="s">
        <v>143</v>
      </c>
      <c r="Y31" s="2">
        <v>46119.370300925926</v>
      </c>
    </row>
    <row r="32" spans="2:25">
      <c r="B32" s="1" t="s">
        <v>0</v>
      </c>
      <c r="C32" t="s">
        <v>220</v>
      </c>
      <c r="D32">
        <v>0</v>
      </c>
      <c r="E32">
        <v>0</v>
      </c>
      <c r="F32">
        <v>10</v>
      </c>
      <c r="G32">
        <v>25</v>
      </c>
      <c r="H32">
        <v>27</v>
      </c>
      <c r="I32">
        <v>3</v>
      </c>
      <c r="J32">
        <v>200</v>
      </c>
      <c r="K32">
        <v>0</v>
      </c>
      <c r="L32" t="s">
        <v>1</v>
      </c>
      <c r="M32">
        <v>256.21440000000001</v>
      </c>
      <c r="N32">
        <v>191.3</v>
      </c>
      <c r="O32">
        <v>191.3</v>
      </c>
      <c r="P32">
        <v>0</v>
      </c>
      <c r="Q32">
        <v>1</v>
      </c>
      <c r="R32">
        <v>1</v>
      </c>
      <c r="T32">
        <v>1539</v>
      </c>
      <c r="U32" t="s">
        <v>228</v>
      </c>
      <c r="V32">
        <v>2</v>
      </c>
      <c r="W32" t="s">
        <v>146</v>
      </c>
      <c r="X32" t="s">
        <v>135</v>
      </c>
      <c r="Y32" s="2">
        <v>46119.417060185187</v>
      </c>
    </row>
    <row r="33" spans="2:25">
      <c r="B33" s="1" t="s">
        <v>0</v>
      </c>
      <c r="C33" t="s">
        <v>220</v>
      </c>
      <c r="D33">
        <v>0</v>
      </c>
      <c r="E33">
        <v>0</v>
      </c>
      <c r="F33">
        <v>10</v>
      </c>
      <c r="G33">
        <v>25</v>
      </c>
      <c r="H33">
        <v>27</v>
      </c>
      <c r="I33">
        <v>3</v>
      </c>
      <c r="J33">
        <v>200</v>
      </c>
      <c r="K33">
        <v>0</v>
      </c>
      <c r="L33" t="s">
        <v>1</v>
      </c>
      <c r="M33">
        <v>302.98050000000001</v>
      </c>
      <c r="N33">
        <v>191.3</v>
      </c>
      <c r="O33">
        <v>191.3</v>
      </c>
      <c r="P33">
        <v>0</v>
      </c>
      <c r="Q33">
        <v>1</v>
      </c>
      <c r="R33">
        <v>1</v>
      </c>
      <c r="T33">
        <v>1734</v>
      </c>
      <c r="U33" t="s">
        <v>231</v>
      </c>
      <c r="V33">
        <v>2</v>
      </c>
      <c r="W33" t="s">
        <v>146</v>
      </c>
      <c r="X33" t="s">
        <v>135</v>
      </c>
      <c r="Y33" s="2">
        <v>46119.420567129629</v>
      </c>
    </row>
    <row r="34" spans="2:25">
      <c r="B34" s="1" t="s">
        <v>0</v>
      </c>
      <c r="C34" t="s">
        <v>220</v>
      </c>
      <c r="D34">
        <v>0</v>
      </c>
      <c r="E34">
        <v>0</v>
      </c>
      <c r="F34">
        <v>10</v>
      </c>
      <c r="G34">
        <v>25</v>
      </c>
      <c r="H34">
        <v>27</v>
      </c>
      <c r="I34">
        <v>3</v>
      </c>
      <c r="J34">
        <v>200</v>
      </c>
      <c r="K34">
        <v>0</v>
      </c>
      <c r="L34" t="s">
        <v>1</v>
      </c>
      <c r="M34">
        <v>401.43720000000002</v>
      </c>
      <c r="N34">
        <v>191.3</v>
      </c>
      <c r="O34">
        <v>191.3</v>
      </c>
      <c r="P34">
        <v>0</v>
      </c>
      <c r="Q34">
        <v>1</v>
      </c>
      <c r="R34">
        <v>1</v>
      </c>
      <c r="T34">
        <v>1539</v>
      </c>
      <c r="U34" t="s">
        <v>228</v>
      </c>
      <c r="V34">
        <v>4</v>
      </c>
      <c r="W34" t="s">
        <v>146</v>
      </c>
      <c r="X34" t="s">
        <v>135</v>
      </c>
      <c r="Y34" s="2">
        <v>46119.425208333334</v>
      </c>
    </row>
    <row r="35" spans="2:25">
      <c r="B35" s="1" t="s">
        <v>0</v>
      </c>
      <c r="C35" t="s">
        <v>220</v>
      </c>
      <c r="D35">
        <v>0</v>
      </c>
      <c r="E35">
        <v>0</v>
      </c>
      <c r="F35">
        <v>10</v>
      </c>
      <c r="G35">
        <v>25</v>
      </c>
      <c r="H35">
        <v>27</v>
      </c>
      <c r="I35">
        <v>3</v>
      </c>
      <c r="J35">
        <v>200</v>
      </c>
      <c r="K35">
        <v>0</v>
      </c>
      <c r="L35" t="s">
        <v>1</v>
      </c>
      <c r="M35">
        <v>128.17230000000001</v>
      </c>
      <c r="N35">
        <v>191.3</v>
      </c>
      <c r="O35">
        <v>191.3</v>
      </c>
      <c r="P35">
        <v>0</v>
      </c>
      <c r="Q35">
        <v>1</v>
      </c>
      <c r="R35">
        <v>1</v>
      </c>
      <c r="T35">
        <v>1734</v>
      </c>
      <c r="U35" t="s">
        <v>231</v>
      </c>
      <c r="V35">
        <v>4</v>
      </c>
      <c r="W35" t="s">
        <v>146</v>
      </c>
      <c r="X35" t="s">
        <v>135</v>
      </c>
      <c r="Y35" s="2">
        <v>46119.426689814813</v>
      </c>
    </row>
    <row r="36" spans="2:25">
      <c r="B36" s="1" t="s">
        <v>0</v>
      </c>
      <c r="C36" t="s">
        <v>220</v>
      </c>
      <c r="D36">
        <v>0</v>
      </c>
      <c r="E36">
        <v>0</v>
      </c>
      <c r="F36">
        <v>10</v>
      </c>
      <c r="G36">
        <v>25</v>
      </c>
      <c r="H36">
        <v>27</v>
      </c>
      <c r="I36">
        <v>3</v>
      </c>
      <c r="J36">
        <v>200</v>
      </c>
      <c r="K36">
        <v>0</v>
      </c>
      <c r="L36" t="s">
        <v>1</v>
      </c>
      <c r="M36">
        <v>206.8982</v>
      </c>
      <c r="N36">
        <v>191.3</v>
      </c>
      <c r="O36">
        <v>191.3</v>
      </c>
      <c r="P36">
        <v>0</v>
      </c>
      <c r="Q36">
        <v>1</v>
      </c>
      <c r="R36">
        <v>1</v>
      </c>
      <c r="T36">
        <v>1539</v>
      </c>
      <c r="U36" t="s">
        <v>228</v>
      </c>
      <c r="V36">
        <v>6</v>
      </c>
      <c r="W36" t="s">
        <v>146</v>
      </c>
      <c r="X36" t="s">
        <v>135</v>
      </c>
      <c r="Y36" s="2">
        <v>46119.429085648146</v>
      </c>
    </row>
    <row r="37" spans="2:25">
      <c r="B37" s="1" t="s">
        <v>0</v>
      </c>
      <c r="C37" t="s">
        <v>220</v>
      </c>
      <c r="D37">
        <v>0</v>
      </c>
      <c r="E37">
        <v>0</v>
      </c>
      <c r="F37">
        <v>10</v>
      </c>
      <c r="G37">
        <v>25</v>
      </c>
      <c r="H37">
        <v>27</v>
      </c>
      <c r="I37">
        <v>3</v>
      </c>
      <c r="J37">
        <v>200</v>
      </c>
      <c r="K37">
        <v>0</v>
      </c>
      <c r="L37" t="s">
        <v>1</v>
      </c>
      <c r="M37">
        <v>230.11510000000001</v>
      </c>
      <c r="N37">
        <v>191.3</v>
      </c>
      <c r="O37">
        <v>191.3</v>
      </c>
      <c r="P37">
        <v>0</v>
      </c>
      <c r="Q37">
        <v>1</v>
      </c>
      <c r="R37">
        <v>1</v>
      </c>
      <c r="T37">
        <v>1734</v>
      </c>
      <c r="U37" t="s">
        <v>231</v>
      </c>
      <c r="V37">
        <v>6</v>
      </c>
      <c r="W37" t="s">
        <v>146</v>
      </c>
      <c r="X37" t="s">
        <v>135</v>
      </c>
      <c r="Y37" s="2">
        <v>46119.431747685187</v>
      </c>
    </row>
    <row r="38" spans="2:25">
      <c r="B38" s="1" t="s">
        <v>0</v>
      </c>
      <c r="C38" t="s">
        <v>220</v>
      </c>
      <c r="D38">
        <v>0</v>
      </c>
      <c r="E38">
        <v>0</v>
      </c>
      <c r="F38">
        <v>10</v>
      </c>
      <c r="G38">
        <v>25</v>
      </c>
      <c r="H38">
        <v>27</v>
      </c>
      <c r="I38">
        <v>3</v>
      </c>
      <c r="J38">
        <v>200</v>
      </c>
      <c r="K38">
        <v>0</v>
      </c>
      <c r="L38" t="s">
        <v>1</v>
      </c>
      <c r="M38">
        <v>379.79660000000001</v>
      </c>
      <c r="N38">
        <v>191.3</v>
      </c>
      <c r="O38">
        <v>191.3</v>
      </c>
      <c r="P38">
        <v>0</v>
      </c>
      <c r="Q38">
        <v>1</v>
      </c>
      <c r="R38">
        <v>1</v>
      </c>
      <c r="T38">
        <v>1539</v>
      </c>
      <c r="U38" t="s">
        <v>228</v>
      </c>
      <c r="V38">
        <v>8</v>
      </c>
      <c r="W38" t="s">
        <v>146</v>
      </c>
      <c r="X38" t="s">
        <v>135</v>
      </c>
      <c r="Y38" s="2">
        <v>46119.436145833337</v>
      </c>
    </row>
    <row r="39" spans="2:25">
      <c r="B39" s="1" t="s">
        <v>0</v>
      </c>
      <c r="C39" t="s">
        <v>220</v>
      </c>
      <c r="D39">
        <v>0</v>
      </c>
      <c r="E39">
        <v>0</v>
      </c>
      <c r="F39">
        <v>10</v>
      </c>
      <c r="G39">
        <v>25</v>
      </c>
      <c r="H39">
        <v>27</v>
      </c>
      <c r="I39">
        <v>3</v>
      </c>
      <c r="J39">
        <v>200</v>
      </c>
      <c r="K39">
        <v>0</v>
      </c>
      <c r="L39" t="s">
        <v>1</v>
      </c>
      <c r="M39">
        <v>127.8826</v>
      </c>
      <c r="N39">
        <v>191.3</v>
      </c>
      <c r="O39">
        <v>191.3</v>
      </c>
      <c r="P39">
        <v>0</v>
      </c>
      <c r="Q39">
        <v>1</v>
      </c>
      <c r="R39">
        <v>1</v>
      </c>
      <c r="T39">
        <v>1734</v>
      </c>
      <c r="U39" t="s">
        <v>231</v>
      </c>
      <c r="V39">
        <v>8</v>
      </c>
      <c r="W39" t="s">
        <v>146</v>
      </c>
      <c r="X39" t="s">
        <v>135</v>
      </c>
      <c r="Y39" s="2">
        <v>46119.437627314815</v>
      </c>
    </row>
    <row r="40" spans="2:25">
      <c r="B40" s="1" t="s">
        <v>0</v>
      </c>
      <c r="C40" t="s">
        <v>221</v>
      </c>
      <c r="D40">
        <v>0</v>
      </c>
      <c r="E40">
        <v>0</v>
      </c>
      <c r="F40">
        <v>10</v>
      </c>
      <c r="G40">
        <v>25</v>
      </c>
      <c r="H40">
        <v>27</v>
      </c>
      <c r="I40">
        <v>3</v>
      </c>
      <c r="J40">
        <v>200</v>
      </c>
      <c r="K40">
        <v>0</v>
      </c>
      <c r="L40" t="s">
        <v>1</v>
      </c>
      <c r="M40">
        <v>89.272400000000005</v>
      </c>
      <c r="N40">
        <v>191.3</v>
      </c>
      <c r="O40">
        <v>191.3</v>
      </c>
      <c r="P40">
        <v>0</v>
      </c>
      <c r="Q40">
        <v>1</v>
      </c>
      <c r="R40">
        <v>1</v>
      </c>
      <c r="T40">
        <v>1050</v>
      </c>
      <c r="U40" t="s">
        <v>228</v>
      </c>
      <c r="V40">
        <v>2</v>
      </c>
      <c r="W40" t="s">
        <v>149</v>
      </c>
      <c r="X40" t="s">
        <v>147</v>
      </c>
      <c r="Y40" s="2">
        <v>46119.438657407409</v>
      </c>
    </row>
    <row r="41" spans="2:25">
      <c r="B41" s="1" t="s">
        <v>0</v>
      </c>
      <c r="C41" t="s">
        <v>221</v>
      </c>
      <c r="D41">
        <v>0</v>
      </c>
      <c r="E41">
        <v>0</v>
      </c>
      <c r="F41">
        <v>10</v>
      </c>
      <c r="G41">
        <v>25</v>
      </c>
      <c r="H41">
        <v>27</v>
      </c>
      <c r="I41">
        <v>3</v>
      </c>
      <c r="J41">
        <v>200</v>
      </c>
      <c r="K41">
        <v>0</v>
      </c>
      <c r="L41" t="s">
        <v>1</v>
      </c>
      <c r="M41">
        <v>200.00110000000001</v>
      </c>
      <c r="N41">
        <v>191.3</v>
      </c>
      <c r="O41">
        <v>191.3</v>
      </c>
      <c r="P41">
        <v>0</v>
      </c>
      <c r="Q41">
        <v>1</v>
      </c>
      <c r="R41">
        <v>1</v>
      </c>
      <c r="T41">
        <v>1425</v>
      </c>
      <c r="U41" t="s">
        <v>231</v>
      </c>
      <c r="V41">
        <v>2</v>
      </c>
      <c r="W41" t="s">
        <v>149</v>
      </c>
      <c r="X41" t="s">
        <v>136</v>
      </c>
      <c r="Y41" s="2">
        <v>46119.440972222219</v>
      </c>
    </row>
    <row r="42" spans="2:25">
      <c r="B42" s="1" t="s">
        <v>0</v>
      </c>
      <c r="C42" t="s">
        <v>221</v>
      </c>
      <c r="D42">
        <v>0</v>
      </c>
      <c r="E42">
        <v>0</v>
      </c>
      <c r="F42">
        <v>10</v>
      </c>
      <c r="G42">
        <v>25</v>
      </c>
      <c r="H42">
        <v>27</v>
      </c>
      <c r="I42">
        <v>3</v>
      </c>
      <c r="J42">
        <v>200</v>
      </c>
      <c r="K42">
        <v>0</v>
      </c>
      <c r="L42" t="s">
        <v>1</v>
      </c>
      <c r="M42">
        <v>94.046599999999998</v>
      </c>
      <c r="N42">
        <v>191.3</v>
      </c>
      <c r="O42">
        <v>191.3</v>
      </c>
      <c r="P42">
        <v>0</v>
      </c>
      <c r="Q42">
        <v>1</v>
      </c>
      <c r="R42">
        <v>1</v>
      </c>
      <c r="T42">
        <v>1050</v>
      </c>
      <c r="U42" t="s">
        <v>228</v>
      </c>
      <c r="V42">
        <v>4</v>
      </c>
      <c r="W42" t="s">
        <v>149</v>
      </c>
      <c r="X42" t="s">
        <v>147</v>
      </c>
      <c r="Y42" s="2">
        <v>46119.442060185182</v>
      </c>
    </row>
    <row r="43" spans="2:25">
      <c r="B43" s="1" t="s">
        <v>0</v>
      </c>
      <c r="C43" t="s">
        <v>221</v>
      </c>
      <c r="D43">
        <v>0</v>
      </c>
      <c r="E43">
        <v>0</v>
      </c>
      <c r="F43">
        <v>10</v>
      </c>
      <c r="G43">
        <v>25</v>
      </c>
      <c r="H43">
        <v>27</v>
      </c>
      <c r="I43">
        <v>3</v>
      </c>
      <c r="J43">
        <v>200</v>
      </c>
      <c r="K43">
        <v>0</v>
      </c>
      <c r="L43" t="s">
        <v>1</v>
      </c>
      <c r="M43">
        <v>312.85449999999997</v>
      </c>
      <c r="N43">
        <v>191.3</v>
      </c>
      <c r="O43">
        <v>191.3</v>
      </c>
      <c r="P43">
        <v>0</v>
      </c>
      <c r="Q43">
        <v>1</v>
      </c>
      <c r="R43">
        <v>1</v>
      </c>
      <c r="T43">
        <v>1524</v>
      </c>
      <c r="U43" t="s">
        <v>231</v>
      </c>
      <c r="V43">
        <v>4</v>
      </c>
      <c r="W43" t="s">
        <v>149</v>
      </c>
      <c r="X43" t="s">
        <v>135</v>
      </c>
      <c r="Y43" s="2">
        <v>46119.44568287037</v>
      </c>
    </row>
    <row r="44" spans="2:25">
      <c r="B44" s="1" t="s">
        <v>0</v>
      </c>
      <c r="C44" t="s">
        <v>221</v>
      </c>
      <c r="D44">
        <v>0</v>
      </c>
      <c r="E44">
        <v>0</v>
      </c>
      <c r="F44">
        <v>10</v>
      </c>
      <c r="G44">
        <v>25</v>
      </c>
      <c r="H44">
        <v>27</v>
      </c>
      <c r="I44">
        <v>3</v>
      </c>
      <c r="J44">
        <v>200</v>
      </c>
      <c r="K44">
        <v>0</v>
      </c>
      <c r="L44" t="s">
        <v>1</v>
      </c>
      <c r="M44">
        <v>102.6532</v>
      </c>
      <c r="N44">
        <v>191.3</v>
      </c>
      <c r="O44">
        <v>191.3</v>
      </c>
      <c r="P44">
        <v>0</v>
      </c>
      <c r="Q44">
        <v>1</v>
      </c>
      <c r="R44">
        <v>1</v>
      </c>
      <c r="T44">
        <v>1050</v>
      </c>
      <c r="U44" t="s">
        <v>228</v>
      </c>
      <c r="V44">
        <v>6</v>
      </c>
      <c r="W44" t="s">
        <v>149</v>
      </c>
      <c r="X44" t="s">
        <v>147</v>
      </c>
      <c r="Y44" s="2">
        <v>46119.446875000001</v>
      </c>
    </row>
    <row r="45" spans="2:25">
      <c r="B45" s="1" t="s">
        <v>0</v>
      </c>
      <c r="C45" t="s">
        <v>221</v>
      </c>
      <c r="D45">
        <v>0</v>
      </c>
      <c r="E45">
        <v>0</v>
      </c>
      <c r="F45">
        <v>10</v>
      </c>
      <c r="G45">
        <v>25</v>
      </c>
      <c r="H45">
        <v>27</v>
      </c>
      <c r="I45">
        <v>3</v>
      </c>
      <c r="J45">
        <v>200</v>
      </c>
      <c r="K45">
        <v>0</v>
      </c>
      <c r="L45" t="s">
        <v>1</v>
      </c>
      <c r="M45">
        <v>534.66899999999998</v>
      </c>
      <c r="N45">
        <v>191.3</v>
      </c>
      <c r="O45">
        <v>191.3</v>
      </c>
      <c r="P45">
        <v>0</v>
      </c>
      <c r="Q45">
        <v>1</v>
      </c>
      <c r="R45">
        <v>1</v>
      </c>
      <c r="T45">
        <v>1785</v>
      </c>
      <c r="U45" t="s">
        <v>231</v>
      </c>
      <c r="V45">
        <v>6</v>
      </c>
      <c r="W45" t="s">
        <v>149</v>
      </c>
      <c r="X45" t="s">
        <v>146</v>
      </c>
      <c r="Y45" s="2">
        <v>46119.453067129631</v>
      </c>
    </row>
    <row r="46" spans="2:25">
      <c r="B46" s="1" t="s">
        <v>0</v>
      </c>
      <c r="C46" t="s">
        <v>221</v>
      </c>
      <c r="D46">
        <v>0</v>
      </c>
      <c r="E46">
        <v>0</v>
      </c>
      <c r="F46">
        <v>10</v>
      </c>
      <c r="G46">
        <v>25</v>
      </c>
      <c r="H46">
        <v>27</v>
      </c>
      <c r="I46">
        <v>3</v>
      </c>
      <c r="J46">
        <v>200</v>
      </c>
      <c r="K46">
        <v>0</v>
      </c>
      <c r="L46" t="s">
        <v>1</v>
      </c>
      <c r="M46">
        <v>222.42169999999999</v>
      </c>
      <c r="N46">
        <v>191.3</v>
      </c>
      <c r="O46">
        <v>191.3</v>
      </c>
      <c r="P46">
        <v>0</v>
      </c>
      <c r="Q46">
        <v>1</v>
      </c>
      <c r="R46">
        <v>1</v>
      </c>
      <c r="T46">
        <v>1050</v>
      </c>
      <c r="U46" t="s">
        <v>228</v>
      </c>
      <c r="V46">
        <v>8</v>
      </c>
      <c r="W46" t="s">
        <v>149</v>
      </c>
      <c r="X46" t="s">
        <v>147</v>
      </c>
      <c r="Y46" s="2">
        <v>46119.455636574072</v>
      </c>
    </row>
    <row r="47" spans="2:25">
      <c r="B47" s="1" t="s">
        <v>0</v>
      </c>
      <c r="C47" t="s">
        <v>221</v>
      </c>
      <c r="D47">
        <v>0</v>
      </c>
      <c r="E47">
        <v>0</v>
      </c>
      <c r="F47">
        <v>10</v>
      </c>
      <c r="G47">
        <v>25</v>
      </c>
      <c r="H47">
        <v>27</v>
      </c>
      <c r="I47">
        <v>3</v>
      </c>
      <c r="J47">
        <v>200</v>
      </c>
      <c r="K47">
        <v>0</v>
      </c>
      <c r="L47" t="s">
        <v>1</v>
      </c>
      <c r="M47">
        <v>386.8347</v>
      </c>
      <c r="N47">
        <v>191.3</v>
      </c>
      <c r="O47">
        <v>191.3</v>
      </c>
      <c r="P47">
        <v>0</v>
      </c>
      <c r="Q47">
        <v>1</v>
      </c>
      <c r="R47">
        <v>1</v>
      </c>
      <c r="T47">
        <v>1479</v>
      </c>
      <c r="U47" t="s">
        <v>231</v>
      </c>
      <c r="V47">
        <v>8</v>
      </c>
      <c r="W47" t="s">
        <v>149</v>
      </c>
      <c r="X47" t="s">
        <v>147</v>
      </c>
      <c r="Y47" s="2">
        <v>46119.460115740738</v>
      </c>
    </row>
    <row r="48" spans="2:25">
      <c r="B48" s="1" t="s">
        <v>0</v>
      </c>
      <c r="C48" t="s">
        <v>222</v>
      </c>
      <c r="D48">
        <v>0</v>
      </c>
      <c r="E48">
        <v>0</v>
      </c>
      <c r="F48">
        <v>10</v>
      </c>
      <c r="G48">
        <v>25</v>
      </c>
      <c r="H48">
        <v>27</v>
      </c>
      <c r="I48">
        <v>3</v>
      </c>
      <c r="J48">
        <v>200</v>
      </c>
      <c r="K48">
        <v>0</v>
      </c>
      <c r="L48" t="s">
        <v>1</v>
      </c>
      <c r="M48">
        <v>187.34899999999999</v>
      </c>
      <c r="N48">
        <v>191.3</v>
      </c>
      <c r="O48">
        <v>191.3</v>
      </c>
      <c r="P48">
        <v>0</v>
      </c>
      <c r="Q48">
        <v>1</v>
      </c>
      <c r="R48">
        <v>1</v>
      </c>
      <c r="T48">
        <v>1644</v>
      </c>
      <c r="U48" t="s">
        <v>228</v>
      </c>
      <c r="V48">
        <v>2</v>
      </c>
      <c r="W48" t="s">
        <v>149</v>
      </c>
      <c r="X48" t="s">
        <v>136</v>
      </c>
      <c r="Y48" s="2">
        <v>46119.462291666663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5C53-E771-44C0-A193-8A3BFDA429DB}">
  <dimension ref="A1:AX107"/>
  <sheetViews>
    <sheetView workbookViewId="0">
      <pane ySplit="1" topLeftCell="A2" activePane="bottomLeft" state="frozen"/>
      <selection pane="bottomLeft" activeCell="W19" sqref="W19"/>
    </sheetView>
  </sheetViews>
  <sheetFormatPr defaultRowHeight="14.4"/>
  <cols>
    <col min="1" max="1" width="7.88671875" customWidth="1"/>
    <col min="2" max="2" width="17.88671875" bestFit="1" customWidth="1"/>
  </cols>
  <sheetData>
    <row r="1" spans="1:29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</row>
    <row r="2" spans="1:29">
      <c r="A2" t="s">
        <v>266</v>
      </c>
      <c r="B2" t="s">
        <v>60</v>
      </c>
      <c r="C2">
        <v>0</v>
      </c>
      <c r="D2">
        <v>0</v>
      </c>
      <c r="E2">
        <v>0</v>
      </c>
      <c r="F2">
        <v>25</v>
      </c>
      <c r="G2">
        <v>27</v>
      </c>
      <c r="H2">
        <v>8</v>
      </c>
      <c r="I2">
        <v>200</v>
      </c>
      <c r="J2">
        <v>0</v>
      </c>
      <c r="K2" t="s">
        <v>1</v>
      </c>
      <c r="L2">
        <v>0.76419999999999999</v>
      </c>
      <c r="M2">
        <v>67.948899999999995</v>
      </c>
      <c r="N2">
        <v>618.32989999999995</v>
      </c>
      <c r="O2">
        <v>618.32989999999995</v>
      </c>
      <c r="P2">
        <v>0</v>
      </c>
      <c r="Q2">
        <v>1</v>
      </c>
      <c r="R2">
        <v>1</v>
      </c>
      <c r="S2">
        <v>872</v>
      </c>
      <c r="T2" t="s">
        <v>2</v>
      </c>
      <c r="U2" t="s">
        <v>267</v>
      </c>
      <c r="V2" s="2">
        <v>46108.865972222222</v>
      </c>
      <c r="X2" t="s">
        <v>268</v>
      </c>
      <c r="Y2" t="s">
        <v>53</v>
      </c>
    </row>
    <row r="3" spans="1:29">
      <c r="A3" t="s">
        <v>269</v>
      </c>
      <c r="B3" t="s">
        <v>60</v>
      </c>
      <c r="C3">
        <v>0</v>
      </c>
      <c r="D3">
        <v>0</v>
      </c>
      <c r="E3">
        <v>1</v>
      </c>
      <c r="F3">
        <v>25</v>
      </c>
      <c r="G3">
        <v>27</v>
      </c>
      <c r="H3">
        <v>8</v>
      </c>
      <c r="I3">
        <v>200</v>
      </c>
      <c r="J3">
        <v>0</v>
      </c>
      <c r="K3" t="s">
        <v>1</v>
      </c>
      <c r="L3">
        <v>0.76419999999999999</v>
      </c>
      <c r="M3">
        <v>20.212499999999999</v>
      </c>
      <c r="N3">
        <v>618.32989999999995</v>
      </c>
      <c r="O3">
        <v>618.32989999999995</v>
      </c>
      <c r="P3">
        <v>0</v>
      </c>
      <c r="Q3">
        <v>1</v>
      </c>
      <c r="R3">
        <v>1</v>
      </c>
      <c r="S3">
        <v>992</v>
      </c>
      <c r="T3" t="s">
        <v>2</v>
      </c>
      <c r="U3" t="s">
        <v>270</v>
      </c>
      <c r="V3" s="2">
        <v>46108.865972222222</v>
      </c>
      <c r="X3" t="s">
        <v>54</v>
      </c>
      <c r="Y3" t="s">
        <v>55</v>
      </c>
      <c r="Z3" t="s">
        <v>56</v>
      </c>
      <c r="AA3" t="s">
        <v>57</v>
      </c>
      <c r="AB3" t="s">
        <v>56</v>
      </c>
      <c r="AC3" t="s">
        <v>58</v>
      </c>
    </row>
    <row r="4" spans="1:29">
      <c r="A4" t="s">
        <v>271</v>
      </c>
      <c r="B4" t="s">
        <v>60</v>
      </c>
      <c r="C4">
        <v>0</v>
      </c>
      <c r="D4">
        <v>0</v>
      </c>
      <c r="E4">
        <v>2</v>
      </c>
      <c r="F4">
        <v>25</v>
      </c>
      <c r="G4">
        <v>27</v>
      </c>
      <c r="H4">
        <v>8</v>
      </c>
      <c r="I4">
        <v>200</v>
      </c>
      <c r="J4">
        <v>0</v>
      </c>
      <c r="K4" t="s">
        <v>1</v>
      </c>
      <c r="L4">
        <v>0.76419999999999999</v>
      </c>
      <c r="M4">
        <v>23.310600000000001</v>
      </c>
      <c r="N4">
        <v>618.32989999999995</v>
      </c>
      <c r="O4">
        <v>618.32989999999995</v>
      </c>
      <c r="P4">
        <v>0</v>
      </c>
      <c r="Q4">
        <v>1</v>
      </c>
      <c r="R4">
        <v>1</v>
      </c>
      <c r="S4">
        <v>1208</v>
      </c>
      <c r="T4" t="s">
        <v>2</v>
      </c>
      <c r="U4" t="s">
        <v>272</v>
      </c>
      <c r="V4" s="2">
        <v>46108.865972222222</v>
      </c>
      <c r="X4">
        <v>0</v>
      </c>
      <c r="Y4">
        <v>9.7492999999999999</v>
      </c>
      <c r="Z4" t="s">
        <v>59</v>
      </c>
      <c r="AA4">
        <v>0</v>
      </c>
      <c r="AB4" t="s">
        <v>60</v>
      </c>
      <c r="AC4">
        <v>2.6837499999999999</v>
      </c>
    </row>
    <row r="5" spans="1:29">
      <c r="A5" t="s">
        <v>273</v>
      </c>
      <c r="B5" t="s">
        <v>60</v>
      </c>
      <c r="C5">
        <v>0</v>
      </c>
      <c r="D5">
        <v>0</v>
      </c>
      <c r="E5">
        <v>3</v>
      </c>
      <c r="F5">
        <v>25</v>
      </c>
      <c r="G5">
        <v>27</v>
      </c>
      <c r="H5">
        <v>8</v>
      </c>
      <c r="I5">
        <v>200</v>
      </c>
      <c r="J5">
        <v>0</v>
      </c>
      <c r="K5" t="s">
        <v>1</v>
      </c>
      <c r="L5">
        <v>0.76419999999999999</v>
      </c>
      <c r="M5">
        <v>2.2683</v>
      </c>
      <c r="N5">
        <v>618.32989999999995</v>
      </c>
      <c r="O5">
        <v>630.38040000000001</v>
      </c>
      <c r="P5">
        <v>1.9489000000000001</v>
      </c>
      <c r="Q5">
        <v>0</v>
      </c>
      <c r="R5">
        <v>1</v>
      </c>
      <c r="S5">
        <v>952</v>
      </c>
      <c r="T5" t="s">
        <v>2</v>
      </c>
      <c r="U5" t="s">
        <v>274</v>
      </c>
      <c r="V5" s="2">
        <v>46108.865972222222</v>
      </c>
      <c r="W5" t="s">
        <v>61</v>
      </c>
      <c r="X5">
        <v>1</v>
      </c>
      <c r="Y5">
        <v>17.725000000000001</v>
      </c>
      <c r="Z5" t="s">
        <v>59</v>
      </c>
      <c r="AA5">
        <v>0</v>
      </c>
      <c r="AB5" t="s">
        <v>60</v>
      </c>
      <c r="AC5">
        <v>2.8890899999999999</v>
      </c>
    </row>
    <row r="6" spans="1:29">
      <c r="A6" t="s">
        <v>275</v>
      </c>
      <c r="B6" t="s">
        <v>60</v>
      </c>
      <c r="C6">
        <v>0</v>
      </c>
      <c r="D6">
        <v>0</v>
      </c>
      <c r="E6">
        <v>22</v>
      </c>
      <c r="F6">
        <v>25</v>
      </c>
      <c r="G6">
        <v>27</v>
      </c>
      <c r="H6">
        <v>8</v>
      </c>
      <c r="I6">
        <v>200</v>
      </c>
      <c r="J6">
        <v>0</v>
      </c>
      <c r="K6" t="s">
        <v>1</v>
      </c>
      <c r="L6">
        <v>0.76419999999999999</v>
      </c>
      <c r="M6">
        <v>99.904700000000005</v>
      </c>
      <c r="N6">
        <v>618.32989999999995</v>
      </c>
      <c r="O6">
        <v>618.32989999999995</v>
      </c>
      <c r="P6">
        <v>0</v>
      </c>
      <c r="Q6">
        <v>1</v>
      </c>
      <c r="R6">
        <v>1</v>
      </c>
      <c r="S6">
        <v>480</v>
      </c>
      <c r="T6" t="s">
        <v>2</v>
      </c>
      <c r="U6" t="s">
        <v>276</v>
      </c>
      <c r="V6" s="2">
        <v>46108.867361111108</v>
      </c>
      <c r="W6" t="s">
        <v>62</v>
      </c>
      <c r="X6">
        <v>2</v>
      </c>
      <c r="Y6">
        <v>4.95</v>
      </c>
      <c r="Z6" t="s">
        <v>59</v>
      </c>
      <c r="AA6">
        <v>0</v>
      </c>
      <c r="AB6" t="s">
        <v>60</v>
      </c>
      <c r="AC6">
        <v>0.86775000000000002</v>
      </c>
    </row>
    <row r="7" spans="1:29">
      <c r="A7" t="s">
        <v>266</v>
      </c>
      <c r="B7" t="s">
        <v>66</v>
      </c>
      <c r="C7">
        <v>0</v>
      </c>
      <c r="D7">
        <v>0</v>
      </c>
      <c r="E7">
        <v>0</v>
      </c>
      <c r="F7">
        <v>25</v>
      </c>
      <c r="G7">
        <v>27</v>
      </c>
      <c r="H7">
        <v>7</v>
      </c>
      <c r="I7">
        <v>200</v>
      </c>
      <c r="J7">
        <v>0</v>
      </c>
      <c r="K7" t="s">
        <v>1</v>
      </c>
      <c r="L7">
        <v>1201.1007999999999</v>
      </c>
      <c r="M7">
        <v>2666.8413999999998</v>
      </c>
      <c r="N7">
        <v>548.1078</v>
      </c>
      <c r="O7">
        <v>548.1078</v>
      </c>
      <c r="P7">
        <v>0</v>
      </c>
      <c r="Q7">
        <v>1</v>
      </c>
      <c r="R7">
        <v>713</v>
      </c>
      <c r="S7">
        <v>2793</v>
      </c>
      <c r="T7" t="s">
        <v>4</v>
      </c>
      <c r="U7" t="s">
        <v>277</v>
      </c>
      <c r="V7" s="2">
        <v>46108.912499999999</v>
      </c>
      <c r="W7" t="s">
        <v>63</v>
      </c>
      <c r="X7">
        <v>3</v>
      </c>
      <c r="Y7">
        <v>8.4444999999999997</v>
      </c>
      <c r="Z7" t="s">
        <v>64</v>
      </c>
      <c r="AA7">
        <v>0</v>
      </c>
      <c r="AB7" t="s">
        <v>60</v>
      </c>
      <c r="AC7">
        <v>3.6711181819999998</v>
      </c>
    </row>
    <row r="8" spans="1:29">
      <c r="A8" t="s">
        <v>269</v>
      </c>
      <c r="B8" t="s">
        <v>66</v>
      </c>
      <c r="C8">
        <v>0</v>
      </c>
      <c r="D8">
        <v>0</v>
      </c>
      <c r="E8">
        <v>1</v>
      </c>
      <c r="F8">
        <v>25</v>
      </c>
      <c r="G8">
        <v>27</v>
      </c>
      <c r="H8">
        <v>7</v>
      </c>
      <c r="I8">
        <v>200</v>
      </c>
      <c r="J8">
        <v>0</v>
      </c>
      <c r="K8" t="s">
        <v>1</v>
      </c>
      <c r="L8">
        <v>1201.1007999999999</v>
      </c>
      <c r="M8">
        <v>2980.3445000000002</v>
      </c>
      <c r="N8">
        <v>548.1078</v>
      </c>
      <c r="O8">
        <v>548.1078</v>
      </c>
      <c r="P8">
        <v>0</v>
      </c>
      <c r="Q8">
        <v>1</v>
      </c>
      <c r="R8">
        <v>2017</v>
      </c>
      <c r="S8">
        <v>2289</v>
      </c>
      <c r="T8" t="s">
        <v>4</v>
      </c>
      <c r="U8" t="s">
        <v>278</v>
      </c>
      <c r="V8" s="2">
        <v>46108.946527777778</v>
      </c>
      <c r="W8" t="s">
        <v>65</v>
      </c>
      <c r="X8">
        <v>22</v>
      </c>
      <c r="Y8">
        <v>25.930900000000001</v>
      </c>
      <c r="Z8" t="s">
        <v>66</v>
      </c>
      <c r="AA8">
        <v>0</v>
      </c>
      <c r="AB8" t="s">
        <v>60</v>
      </c>
      <c r="AC8">
        <v>5.2195999999999998</v>
      </c>
    </row>
    <row r="9" spans="1:29">
      <c r="A9" t="s">
        <v>271</v>
      </c>
      <c r="B9" t="s">
        <v>66</v>
      </c>
      <c r="C9">
        <v>0</v>
      </c>
      <c r="D9">
        <v>0</v>
      </c>
      <c r="E9">
        <v>2</v>
      </c>
      <c r="F9">
        <v>25</v>
      </c>
      <c r="G9">
        <v>27</v>
      </c>
      <c r="H9">
        <v>7</v>
      </c>
      <c r="I9">
        <v>200</v>
      </c>
      <c r="J9">
        <v>0</v>
      </c>
      <c r="K9" t="s">
        <v>1</v>
      </c>
      <c r="L9">
        <v>1201.1007999999999</v>
      </c>
      <c r="M9">
        <v>2381.7851999999998</v>
      </c>
      <c r="N9">
        <v>548.1078</v>
      </c>
      <c r="O9">
        <v>548.1078</v>
      </c>
      <c r="P9">
        <v>0</v>
      </c>
      <c r="Q9">
        <v>1</v>
      </c>
      <c r="R9">
        <v>1435</v>
      </c>
      <c r="S9">
        <v>2268</v>
      </c>
      <c r="T9" t="s">
        <v>4</v>
      </c>
      <c r="U9" t="s">
        <v>279</v>
      </c>
      <c r="V9" s="2">
        <v>46108.974305555559</v>
      </c>
      <c r="W9" t="s">
        <v>67</v>
      </c>
      <c r="X9">
        <v>10</v>
      </c>
      <c r="Y9">
        <v>3.3816000000000002</v>
      </c>
      <c r="Z9" t="s">
        <v>68</v>
      </c>
      <c r="AA9">
        <v>0</v>
      </c>
      <c r="AB9" t="s">
        <v>60</v>
      </c>
      <c r="AC9">
        <v>0.25706250000000003</v>
      </c>
    </row>
    <row r="10" spans="1:29">
      <c r="A10" t="s">
        <v>273</v>
      </c>
      <c r="B10" t="s">
        <v>66</v>
      </c>
      <c r="C10">
        <v>0</v>
      </c>
      <c r="D10">
        <v>0</v>
      </c>
      <c r="E10">
        <v>3</v>
      </c>
      <c r="F10">
        <v>25</v>
      </c>
      <c r="G10">
        <v>27</v>
      </c>
      <c r="H10">
        <v>7</v>
      </c>
      <c r="I10">
        <v>200</v>
      </c>
      <c r="J10">
        <v>0</v>
      </c>
      <c r="K10" t="s">
        <v>1</v>
      </c>
      <c r="L10">
        <v>1201.1007999999999</v>
      </c>
      <c r="M10">
        <v>106.3065</v>
      </c>
      <c r="N10">
        <v>548.1078</v>
      </c>
      <c r="O10">
        <v>551.62199999999996</v>
      </c>
      <c r="P10">
        <v>0.6411</v>
      </c>
      <c r="Q10">
        <v>0</v>
      </c>
      <c r="R10">
        <v>211</v>
      </c>
      <c r="S10">
        <v>2485</v>
      </c>
      <c r="T10" t="s">
        <v>4</v>
      </c>
      <c r="U10" t="s">
        <v>280</v>
      </c>
      <c r="V10" s="2">
        <v>46108.975694444445</v>
      </c>
      <c r="AA10">
        <v>0</v>
      </c>
    </row>
    <row r="11" spans="1:29">
      <c r="A11" t="s">
        <v>275</v>
      </c>
      <c r="B11" t="s">
        <v>66</v>
      </c>
      <c r="C11">
        <v>0</v>
      </c>
      <c r="D11">
        <v>0</v>
      </c>
      <c r="E11">
        <v>22</v>
      </c>
      <c r="F11">
        <v>25</v>
      </c>
      <c r="G11">
        <v>27</v>
      </c>
      <c r="H11">
        <v>7</v>
      </c>
      <c r="I11">
        <v>200</v>
      </c>
      <c r="J11">
        <v>0</v>
      </c>
      <c r="K11" t="s">
        <v>1</v>
      </c>
      <c r="L11">
        <v>1201.1007999999999</v>
      </c>
      <c r="M11">
        <v>3600.2435999999998</v>
      </c>
      <c r="N11">
        <v>548.1078</v>
      </c>
      <c r="O11">
        <v>690.23689999999999</v>
      </c>
      <c r="P11">
        <v>25.930900000000001</v>
      </c>
      <c r="Q11">
        <v>0</v>
      </c>
      <c r="R11">
        <v>1878</v>
      </c>
      <c r="S11">
        <v>714</v>
      </c>
      <c r="T11" t="s">
        <v>4</v>
      </c>
      <c r="U11" t="s">
        <v>281</v>
      </c>
      <c r="V11" s="2">
        <v>46109.017361111109</v>
      </c>
    </row>
    <row r="12" spans="1:29">
      <c r="A12" t="s">
        <v>266</v>
      </c>
      <c r="B12" t="s">
        <v>72</v>
      </c>
      <c r="C12">
        <v>0</v>
      </c>
      <c r="D12">
        <v>0</v>
      </c>
      <c r="E12">
        <v>0</v>
      </c>
      <c r="F12">
        <v>25</v>
      </c>
      <c r="G12">
        <v>27</v>
      </c>
      <c r="H12">
        <v>5</v>
      </c>
      <c r="I12">
        <v>200</v>
      </c>
      <c r="J12">
        <v>0</v>
      </c>
      <c r="K12" t="s">
        <v>1</v>
      </c>
      <c r="L12">
        <v>1201.3643</v>
      </c>
      <c r="M12">
        <v>142.071</v>
      </c>
      <c r="N12">
        <v>468.24790000000002</v>
      </c>
      <c r="O12">
        <v>455.69819999999999</v>
      </c>
      <c r="P12">
        <v>-2.6800999999999999</v>
      </c>
      <c r="Q12">
        <v>0</v>
      </c>
      <c r="R12">
        <v>1</v>
      </c>
      <c r="S12">
        <v>1375</v>
      </c>
      <c r="T12" t="s">
        <v>162</v>
      </c>
      <c r="U12" t="s">
        <v>282</v>
      </c>
      <c r="V12" s="2">
        <v>46109.032638888886</v>
      </c>
      <c r="X12" t="s">
        <v>268</v>
      </c>
      <c r="Y12" t="s">
        <v>69</v>
      </c>
    </row>
    <row r="13" spans="1:29">
      <c r="A13" t="s">
        <v>269</v>
      </c>
      <c r="B13" t="s">
        <v>72</v>
      </c>
      <c r="C13">
        <v>0</v>
      </c>
      <c r="D13">
        <v>0</v>
      </c>
      <c r="E13">
        <v>1</v>
      </c>
      <c r="F13">
        <v>25</v>
      </c>
      <c r="G13">
        <v>27</v>
      </c>
      <c r="H13">
        <v>5</v>
      </c>
      <c r="I13">
        <v>200</v>
      </c>
      <c r="J13">
        <v>0</v>
      </c>
      <c r="K13" t="s">
        <v>1</v>
      </c>
      <c r="L13">
        <v>1201.3643</v>
      </c>
      <c r="M13">
        <v>109.9558</v>
      </c>
      <c r="N13">
        <v>468.24790000000002</v>
      </c>
      <c r="O13">
        <v>455.69819999999999</v>
      </c>
      <c r="P13">
        <v>-2.6800999999999999</v>
      </c>
      <c r="Q13">
        <v>0</v>
      </c>
      <c r="R13">
        <v>1</v>
      </c>
      <c r="S13">
        <v>1450</v>
      </c>
      <c r="T13" t="s">
        <v>162</v>
      </c>
      <c r="U13" t="s">
        <v>283</v>
      </c>
      <c r="V13" s="2">
        <v>46109.03402777778</v>
      </c>
      <c r="X13" t="s">
        <v>54</v>
      </c>
      <c r="Y13" t="s">
        <v>55</v>
      </c>
      <c r="Z13" t="s">
        <v>56</v>
      </c>
      <c r="AA13" t="s">
        <v>57</v>
      </c>
      <c r="AB13" t="s">
        <v>56</v>
      </c>
      <c r="AC13" t="s">
        <v>58</v>
      </c>
    </row>
    <row r="14" spans="1:29">
      <c r="A14" t="s">
        <v>271</v>
      </c>
      <c r="B14" t="s">
        <v>72</v>
      </c>
      <c r="C14">
        <v>0</v>
      </c>
      <c r="D14">
        <v>0</v>
      </c>
      <c r="E14">
        <v>2</v>
      </c>
      <c r="F14">
        <v>25</v>
      </c>
      <c r="G14">
        <v>27</v>
      </c>
      <c r="H14">
        <v>5</v>
      </c>
      <c r="I14">
        <v>200</v>
      </c>
      <c r="J14">
        <v>0</v>
      </c>
      <c r="K14" t="s">
        <v>1</v>
      </c>
      <c r="L14">
        <v>1201.3643</v>
      </c>
      <c r="M14">
        <v>111.53740000000001</v>
      </c>
      <c r="N14">
        <v>468.24790000000002</v>
      </c>
      <c r="O14">
        <v>455.69819999999999</v>
      </c>
      <c r="P14">
        <v>-2.6800999999999999</v>
      </c>
      <c r="Q14">
        <v>0</v>
      </c>
      <c r="R14">
        <v>1</v>
      </c>
      <c r="S14">
        <v>1380</v>
      </c>
      <c r="T14" t="s">
        <v>162</v>
      </c>
      <c r="U14" t="s">
        <v>284</v>
      </c>
      <c r="V14" s="2">
        <v>46109.035416666666</v>
      </c>
      <c r="X14">
        <v>0</v>
      </c>
      <c r="Y14">
        <v>3999.3000999999999</v>
      </c>
      <c r="Z14" t="s">
        <v>59</v>
      </c>
      <c r="AA14">
        <v>67.948899999999995</v>
      </c>
      <c r="AC14">
        <v>1577.3655799999999</v>
      </c>
    </row>
    <row r="15" spans="1:29">
      <c r="A15" t="s">
        <v>273</v>
      </c>
      <c r="B15" t="s">
        <v>72</v>
      </c>
      <c r="C15">
        <v>0</v>
      </c>
      <c r="D15">
        <v>0</v>
      </c>
      <c r="E15">
        <v>3</v>
      </c>
      <c r="F15">
        <v>25</v>
      </c>
      <c r="G15">
        <v>27</v>
      </c>
      <c r="H15">
        <v>5</v>
      </c>
      <c r="I15">
        <v>200</v>
      </c>
      <c r="J15">
        <v>0</v>
      </c>
      <c r="K15" t="s">
        <v>1</v>
      </c>
      <c r="L15">
        <v>1201.3643</v>
      </c>
      <c r="M15">
        <v>164.38319999999999</v>
      </c>
      <c r="N15">
        <v>468.24790000000002</v>
      </c>
      <c r="O15">
        <v>468.1968</v>
      </c>
      <c r="P15">
        <v>-1.09E-2</v>
      </c>
      <c r="Q15">
        <v>0</v>
      </c>
      <c r="R15">
        <v>379</v>
      </c>
      <c r="S15">
        <v>2445</v>
      </c>
      <c r="T15" t="s">
        <v>162</v>
      </c>
      <c r="U15" t="s">
        <v>285</v>
      </c>
      <c r="V15" s="2">
        <v>46109.037499999999</v>
      </c>
      <c r="X15">
        <v>1</v>
      </c>
      <c r="Y15">
        <v>3786.1477</v>
      </c>
      <c r="Z15" t="s">
        <v>70</v>
      </c>
      <c r="AA15">
        <v>20.212499999999999</v>
      </c>
      <c r="AC15">
        <v>1251.4237000000001</v>
      </c>
    </row>
    <row r="16" spans="1:29">
      <c r="A16" t="s">
        <v>275</v>
      </c>
      <c r="B16" t="s">
        <v>72</v>
      </c>
      <c r="C16">
        <v>0</v>
      </c>
      <c r="D16">
        <v>0</v>
      </c>
      <c r="E16">
        <v>22</v>
      </c>
      <c r="F16">
        <v>25</v>
      </c>
      <c r="G16">
        <v>27</v>
      </c>
      <c r="H16">
        <v>5</v>
      </c>
      <c r="I16">
        <v>200</v>
      </c>
      <c r="J16">
        <v>0</v>
      </c>
      <c r="K16" t="s">
        <v>1</v>
      </c>
      <c r="L16">
        <v>1201.3643</v>
      </c>
      <c r="M16">
        <v>447.5025</v>
      </c>
      <c r="N16">
        <v>468.24790000000002</v>
      </c>
      <c r="O16">
        <v>455.69819999999999</v>
      </c>
      <c r="P16">
        <v>-2.6800999999999999</v>
      </c>
      <c r="Q16">
        <v>0</v>
      </c>
      <c r="R16">
        <v>1</v>
      </c>
      <c r="S16">
        <v>645</v>
      </c>
      <c r="T16" t="s">
        <v>162</v>
      </c>
      <c r="U16" t="s">
        <v>286</v>
      </c>
      <c r="V16" s="2">
        <v>46109.042361111111</v>
      </c>
      <c r="X16">
        <v>2</v>
      </c>
      <c r="Y16">
        <v>4212.7161999999998</v>
      </c>
      <c r="Z16" t="s">
        <v>70</v>
      </c>
      <c r="AA16">
        <v>23.310600000000001</v>
      </c>
      <c r="AC16">
        <v>1214.44336</v>
      </c>
    </row>
    <row r="17" spans="1:29">
      <c r="A17" t="s">
        <v>266</v>
      </c>
      <c r="B17" t="s">
        <v>73</v>
      </c>
      <c r="C17">
        <v>0</v>
      </c>
      <c r="D17">
        <v>0</v>
      </c>
      <c r="E17">
        <v>0</v>
      </c>
      <c r="F17">
        <v>25</v>
      </c>
      <c r="G17">
        <v>27</v>
      </c>
      <c r="H17">
        <v>4</v>
      </c>
      <c r="I17">
        <v>200</v>
      </c>
      <c r="J17">
        <v>0</v>
      </c>
      <c r="K17" t="s">
        <v>1</v>
      </c>
      <c r="L17">
        <v>1201.5134</v>
      </c>
      <c r="M17">
        <v>119.91160000000001</v>
      </c>
      <c r="N17">
        <v>453.68689999999998</v>
      </c>
      <c r="O17">
        <v>417.96120000000002</v>
      </c>
      <c r="P17">
        <v>-7.8745000000000003</v>
      </c>
      <c r="Q17">
        <v>0</v>
      </c>
      <c r="R17">
        <v>1</v>
      </c>
      <c r="S17">
        <v>1040</v>
      </c>
      <c r="T17" t="s">
        <v>166</v>
      </c>
      <c r="U17" t="s">
        <v>287</v>
      </c>
      <c r="V17" s="2">
        <v>46109.057638888888</v>
      </c>
      <c r="X17">
        <v>3</v>
      </c>
      <c r="Y17">
        <v>3633.8024999999998</v>
      </c>
      <c r="Z17" t="s">
        <v>59</v>
      </c>
      <c r="AA17">
        <v>2.2683</v>
      </c>
      <c r="AC17">
        <v>814.73283330000004</v>
      </c>
    </row>
    <row r="18" spans="1:29">
      <c r="A18" t="s">
        <v>269</v>
      </c>
      <c r="B18" t="s">
        <v>73</v>
      </c>
      <c r="C18">
        <v>0</v>
      </c>
      <c r="D18">
        <v>0</v>
      </c>
      <c r="E18">
        <v>1</v>
      </c>
      <c r="F18">
        <v>25</v>
      </c>
      <c r="G18">
        <v>27</v>
      </c>
      <c r="H18">
        <v>4</v>
      </c>
      <c r="I18">
        <v>200</v>
      </c>
      <c r="J18">
        <v>0</v>
      </c>
      <c r="K18" t="s">
        <v>1</v>
      </c>
      <c r="L18">
        <v>1201.5134</v>
      </c>
      <c r="M18">
        <v>150.0521</v>
      </c>
      <c r="N18">
        <v>453.68689999999998</v>
      </c>
      <c r="O18">
        <v>417.96120000000002</v>
      </c>
      <c r="P18">
        <v>-7.8745000000000003</v>
      </c>
      <c r="Q18">
        <v>0</v>
      </c>
      <c r="R18">
        <v>15</v>
      </c>
      <c r="S18">
        <v>1752</v>
      </c>
      <c r="T18" t="s">
        <v>166</v>
      </c>
      <c r="U18" t="s">
        <v>288</v>
      </c>
      <c r="V18" s="2">
        <v>46109.05972222222</v>
      </c>
      <c r="X18">
        <v>22</v>
      </c>
      <c r="Y18">
        <v>4554.6504999999997</v>
      </c>
      <c r="Z18" t="s">
        <v>70</v>
      </c>
      <c r="AA18">
        <v>99.904700000000005</v>
      </c>
      <c r="AC18">
        <v>2195.5316069999999</v>
      </c>
    </row>
    <row r="19" spans="1:29">
      <c r="A19" t="s">
        <v>271</v>
      </c>
      <c r="B19" t="s">
        <v>73</v>
      </c>
      <c r="C19">
        <v>0</v>
      </c>
      <c r="D19">
        <v>0</v>
      </c>
      <c r="E19">
        <v>2</v>
      </c>
      <c r="F19">
        <v>25</v>
      </c>
      <c r="G19">
        <v>27</v>
      </c>
      <c r="H19">
        <v>4</v>
      </c>
      <c r="I19">
        <v>200</v>
      </c>
      <c r="J19">
        <v>0</v>
      </c>
      <c r="K19" t="s">
        <v>1</v>
      </c>
      <c r="L19">
        <v>1201.5134</v>
      </c>
      <c r="M19">
        <v>86.701700000000002</v>
      </c>
      <c r="N19">
        <v>453.68689999999998</v>
      </c>
      <c r="O19">
        <v>417.96120000000002</v>
      </c>
      <c r="P19">
        <v>-7.8745000000000003</v>
      </c>
      <c r="Q19">
        <v>0</v>
      </c>
      <c r="R19">
        <v>1</v>
      </c>
      <c r="S19">
        <v>1384</v>
      </c>
      <c r="T19" t="s">
        <v>166</v>
      </c>
      <c r="U19" t="s">
        <v>289</v>
      </c>
      <c r="V19" s="2">
        <v>46109.060416666667</v>
      </c>
      <c r="X19">
        <v>10</v>
      </c>
      <c r="Y19">
        <v>3346.43</v>
      </c>
      <c r="Z19" t="s">
        <v>71</v>
      </c>
      <c r="AA19">
        <v>25.3171</v>
      </c>
      <c r="AC19">
        <v>545.35545709999997</v>
      </c>
    </row>
    <row r="20" spans="1:29">
      <c r="A20" t="s">
        <v>273</v>
      </c>
      <c r="B20" t="s">
        <v>73</v>
      </c>
      <c r="C20">
        <v>0</v>
      </c>
      <c r="D20">
        <v>0</v>
      </c>
      <c r="E20">
        <v>3</v>
      </c>
      <c r="F20">
        <v>25</v>
      </c>
      <c r="G20">
        <v>27</v>
      </c>
      <c r="H20">
        <v>4</v>
      </c>
      <c r="I20">
        <v>200</v>
      </c>
      <c r="J20">
        <v>0</v>
      </c>
      <c r="K20" t="s">
        <v>1</v>
      </c>
      <c r="L20">
        <v>1201.5134</v>
      </c>
      <c r="M20">
        <v>18.886500000000002</v>
      </c>
      <c r="N20">
        <v>453.68689999999998</v>
      </c>
      <c r="O20">
        <v>427.22129999999999</v>
      </c>
      <c r="P20">
        <v>-5.8334000000000001</v>
      </c>
      <c r="Q20">
        <v>0</v>
      </c>
      <c r="R20">
        <v>1</v>
      </c>
      <c r="S20">
        <v>1744</v>
      </c>
      <c r="T20" t="s">
        <v>166</v>
      </c>
      <c r="U20" t="s">
        <v>290</v>
      </c>
      <c r="V20" s="2">
        <v>46109.060416666667</v>
      </c>
    </row>
    <row r="21" spans="1:29">
      <c r="A21" t="s">
        <v>275</v>
      </c>
      <c r="B21" t="s">
        <v>73</v>
      </c>
      <c r="C21">
        <v>0</v>
      </c>
      <c r="D21">
        <v>0</v>
      </c>
      <c r="E21">
        <v>22</v>
      </c>
      <c r="F21">
        <v>25</v>
      </c>
      <c r="G21">
        <v>27</v>
      </c>
      <c r="H21">
        <v>4</v>
      </c>
      <c r="I21">
        <v>200</v>
      </c>
      <c r="J21">
        <v>0</v>
      </c>
      <c r="K21" t="s">
        <v>1</v>
      </c>
      <c r="L21">
        <v>1201.5134</v>
      </c>
      <c r="M21">
        <v>392.80579999999998</v>
      </c>
      <c r="N21">
        <v>453.68689999999998</v>
      </c>
      <c r="O21">
        <v>420.63339999999999</v>
      </c>
      <c r="P21">
        <v>-7.2854999999999999</v>
      </c>
      <c r="Q21">
        <v>0</v>
      </c>
      <c r="R21">
        <v>1</v>
      </c>
      <c r="S21">
        <v>500</v>
      </c>
      <c r="T21" t="s">
        <v>166</v>
      </c>
      <c r="U21" t="s">
        <v>291</v>
      </c>
      <c r="V21" s="2">
        <v>46109.06527777778</v>
      </c>
    </row>
    <row r="22" spans="1:29">
      <c r="A22" t="s">
        <v>266</v>
      </c>
      <c r="B22" t="s">
        <v>74</v>
      </c>
      <c r="C22">
        <v>0</v>
      </c>
      <c r="D22">
        <v>0</v>
      </c>
      <c r="E22">
        <v>0</v>
      </c>
      <c r="F22">
        <v>25</v>
      </c>
      <c r="G22">
        <v>27</v>
      </c>
      <c r="H22">
        <v>6</v>
      </c>
      <c r="I22">
        <v>200</v>
      </c>
      <c r="J22">
        <v>0</v>
      </c>
      <c r="K22" t="s">
        <v>1</v>
      </c>
      <c r="L22">
        <v>17.8249</v>
      </c>
      <c r="M22">
        <v>90.908100000000005</v>
      </c>
      <c r="N22">
        <v>531.53859999999997</v>
      </c>
      <c r="O22">
        <v>531.53859999999997</v>
      </c>
      <c r="P22">
        <v>0</v>
      </c>
      <c r="Q22">
        <v>1</v>
      </c>
      <c r="R22">
        <v>1</v>
      </c>
      <c r="S22">
        <v>828</v>
      </c>
      <c r="T22" t="s">
        <v>10</v>
      </c>
      <c r="U22" t="s">
        <v>292</v>
      </c>
      <c r="V22" s="2">
        <v>46109.066666666666</v>
      </c>
    </row>
    <row r="23" spans="1:29">
      <c r="A23" t="s">
        <v>269</v>
      </c>
      <c r="B23" t="s">
        <v>74</v>
      </c>
      <c r="C23">
        <v>0</v>
      </c>
      <c r="D23">
        <v>0</v>
      </c>
      <c r="E23">
        <v>1</v>
      </c>
      <c r="F23">
        <v>25</v>
      </c>
      <c r="G23">
        <v>27</v>
      </c>
      <c r="H23">
        <v>6</v>
      </c>
      <c r="I23">
        <v>200</v>
      </c>
      <c r="J23">
        <v>0</v>
      </c>
      <c r="K23" t="s">
        <v>1</v>
      </c>
      <c r="L23">
        <v>17.8249</v>
      </c>
      <c r="M23">
        <v>56.1524</v>
      </c>
      <c r="N23">
        <v>531.53859999999997</v>
      </c>
      <c r="O23">
        <v>531.53859999999997</v>
      </c>
      <c r="P23">
        <v>0</v>
      </c>
      <c r="Q23">
        <v>1</v>
      </c>
      <c r="R23">
        <v>1</v>
      </c>
      <c r="S23">
        <v>1134</v>
      </c>
      <c r="T23" t="s">
        <v>10</v>
      </c>
      <c r="U23" t="s">
        <v>293</v>
      </c>
      <c r="V23" s="2">
        <v>46109.067361111112</v>
      </c>
    </row>
    <row r="24" spans="1:29">
      <c r="A24" t="s">
        <v>271</v>
      </c>
      <c r="B24" t="s">
        <v>74</v>
      </c>
      <c r="C24">
        <v>0</v>
      </c>
      <c r="D24">
        <v>0</v>
      </c>
      <c r="E24">
        <v>2</v>
      </c>
      <c r="F24">
        <v>25</v>
      </c>
      <c r="G24">
        <v>27</v>
      </c>
      <c r="H24">
        <v>6</v>
      </c>
      <c r="I24">
        <v>200</v>
      </c>
      <c r="J24">
        <v>0</v>
      </c>
      <c r="K24" t="s">
        <v>1</v>
      </c>
      <c r="L24">
        <v>17.8249</v>
      </c>
      <c r="M24">
        <v>57.6008</v>
      </c>
      <c r="N24">
        <v>531.53859999999997</v>
      </c>
      <c r="O24">
        <v>531.53859999999997</v>
      </c>
      <c r="P24">
        <v>0</v>
      </c>
      <c r="Q24">
        <v>1</v>
      </c>
      <c r="R24">
        <v>1</v>
      </c>
      <c r="S24">
        <v>1242</v>
      </c>
      <c r="T24" t="s">
        <v>10</v>
      </c>
      <c r="U24" t="s">
        <v>294</v>
      </c>
      <c r="V24" s="2">
        <v>46109.068055555559</v>
      </c>
    </row>
    <row r="25" spans="1:29">
      <c r="A25" t="s">
        <v>273</v>
      </c>
      <c r="B25" t="s">
        <v>74</v>
      </c>
      <c r="C25">
        <v>0</v>
      </c>
      <c r="D25">
        <v>0</v>
      </c>
      <c r="E25">
        <v>3</v>
      </c>
      <c r="F25">
        <v>25</v>
      </c>
      <c r="G25">
        <v>27</v>
      </c>
      <c r="H25">
        <v>6</v>
      </c>
      <c r="I25">
        <v>200</v>
      </c>
      <c r="J25">
        <v>0</v>
      </c>
      <c r="K25" t="s">
        <v>1</v>
      </c>
      <c r="L25">
        <v>17.8249</v>
      </c>
      <c r="M25">
        <v>22.607299999999999</v>
      </c>
      <c r="N25">
        <v>531.53859999999997</v>
      </c>
      <c r="O25">
        <v>537.51660000000004</v>
      </c>
      <c r="P25">
        <v>1.1247</v>
      </c>
      <c r="Q25">
        <v>0</v>
      </c>
      <c r="R25">
        <v>65</v>
      </c>
      <c r="S25">
        <v>1452</v>
      </c>
      <c r="T25" t="s">
        <v>10</v>
      </c>
      <c r="U25" t="s">
        <v>295</v>
      </c>
      <c r="V25" s="2">
        <v>46109.068055555559</v>
      </c>
    </row>
    <row r="26" spans="1:29">
      <c r="A26" t="s">
        <v>275</v>
      </c>
      <c r="B26" t="s">
        <v>74</v>
      </c>
      <c r="C26">
        <v>0</v>
      </c>
      <c r="D26">
        <v>0</v>
      </c>
      <c r="E26">
        <v>22</v>
      </c>
      <c r="F26">
        <v>25</v>
      </c>
      <c r="G26">
        <v>27</v>
      </c>
      <c r="H26">
        <v>6</v>
      </c>
      <c r="I26">
        <v>200</v>
      </c>
      <c r="J26">
        <v>0</v>
      </c>
      <c r="K26" t="s">
        <v>1</v>
      </c>
      <c r="L26">
        <v>17.8249</v>
      </c>
      <c r="M26">
        <v>210.86269999999999</v>
      </c>
      <c r="N26">
        <v>531.53859999999997</v>
      </c>
      <c r="O26">
        <v>531.53859999999997</v>
      </c>
      <c r="P26">
        <v>0</v>
      </c>
      <c r="Q26">
        <v>1</v>
      </c>
      <c r="R26">
        <v>1</v>
      </c>
      <c r="S26">
        <v>492</v>
      </c>
      <c r="T26" t="s">
        <v>10</v>
      </c>
      <c r="U26" t="s">
        <v>296</v>
      </c>
      <c r="V26" s="2">
        <v>46109.070138888892</v>
      </c>
    </row>
    <row r="27" spans="1:29">
      <c r="A27" t="s">
        <v>266</v>
      </c>
      <c r="B27" t="s">
        <v>75</v>
      </c>
      <c r="C27">
        <v>0</v>
      </c>
      <c r="D27">
        <v>0</v>
      </c>
      <c r="E27">
        <v>0</v>
      </c>
      <c r="F27">
        <v>25</v>
      </c>
      <c r="G27">
        <v>27</v>
      </c>
      <c r="H27">
        <v>5</v>
      </c>
      <c r="I27">
        <v>200</v>
      </c>
      <c r="J27">
        <v>0</v>
      </c>
      <c r="K27" t="s">
        <v>1</v>
      </c>
      <c r="L27">
        <v>1092.5516</v>
      </c>
      <c r="M27">
        <v>1481.3308</v>
      </c>
      <c r="N27">
        <v>466.48020000000002</v>
      </c>
      <c r="O27">
        <v>470.52350000000001</v>
      </c>
      <c r="P27">
        <v>0.86680000000000001</v>
      </c>
      <c r="Q27">
        <v>0</v>
      </c>
      <c r="R27">
        <v>307</v>
      </c>
      <c r="S27">
        <v>2765</v>
      </c>
      <c r="T27" t="s">
        <v>12</v>
      </c>
      <c r="U27" t="s">
        <v>297</v>
      </c>
      <c r="V27" s="2">
        <v>46109.1</v>
      </c>
    </row>
    <row r="28" spans="1:29">
      <c r="A28" t="s">
        <v>269</v>
      </c>
      <c r="B28" t="s">
        <v>75</v>
      </c>
      <c r="C28">
        <v>0</v>
      </c>
      <c r="D28">
        <v>0</v>
      </c>
      <c r="E28">
        <v>1</v>
      </c>
      <c r="F28">
        <v>25</v>
      </c>
      <c r="G28">
        <v>27</v>
      </c>
      <c r="H28">
        <v>5</v>
      </c>
      <c r="I28">
        <v>200</v>
      </c>
      <c r="J28">
        <v>0</v>
      </c>
      <c r="K28" t="s">
        <v>1</v>
      </c>
      <c r="L28">
        <v>1092.5516</v>
      </c>
      <c r="M28">
        <v>809.25009999999997</v>
      </c>
      <c r="N28">
        <v>466.48020000000002</v>
      </c>
      <c r="O28">
        <v>466.48020000000002</v>
      </c>
      <c r="P28">
        <v>0</v>
      </c>
      <c r="Q28">
        <v>1</v>
      </c>
      <c r="R28">
        <v>137</v>
      </c>
      <c r="S28">
        <v>2280</v>
      </c>
      <c r="T28" t="s">
        <v>12</v>
      </c>
      <c r="U28" t="s">
        <v>298</v>
      </c>
      <c r="V28" s="2">
        <v>46109.109722222223</v>
      </c>
    </row>
    <row r="29" spans="1:29">
      <c r="A29" t="s">
        <v>271</v>
      </c>
      <c r="B29" t="s">
        <v>75</v>
      </c>
      <c r="C29">
        <v>0</v>
      </c>
      <c r="D29">
        <v>0</v>
      </c>
      <c r="E29">
        <v>2</v>
      </c>
      <c r="F29">
        <v>25</v>
      </c>
      <c r="G29">
        <v>27</v>
      </c>
      <c r="H29">
        <v>5</v>
      </c>
      <c r="I29">
        <v>200</v>
      </c>
      <c r="J29">
        <v>0</v>
      </c>
      <c r="K29" t="s">
        <v>1</v>
      </c>
      <c r="L29">
        <v>1092.5516</v>
      </c>
      <c r="M29">
        <v>875.56370000000004</v>
      </c>
      <c r="N29">
        <v>466.48020000000002</v>
      </c>
      <c r="O29">
        <v>466.48020000000002</v>
      </c>
      <c r="P29">
        <v>0</v>
      </c>
      <c r="Q29">
        <v>1</v>
      </c>
      <c r="R29">
        <v>153</v>
      </c>
      <c r="S29">
        <v>2390</v>
      </c>
      <c r="T29" t="s">
        <v>12</v>
      </c>
      <c r="U29" t="s">
        <v>299</v>
      </c>
      <c r="V29" s="2">
        <v>46109.119444444441</v>
      </c>
    </row>
    <row r="30" spans="1:29">
      <c r="A30" t="s">
        <v>273</v>
      </c>
      <c r="B30" t="s">
        <v>75</v>
      </c>
      <c r="C30">
        <v>0</v>
      </c>
      <c r="D30">
        <v>0</v>
      </c>
      <c r="E30">
        <v>3</v>
      </c>
      <c r="F30">
        <v>25</v>
      </c>
      <c r="G30">
        <v>27</v>
      </c>
      <c r="H30">
        <v>5</v>
      </c>
      <c r="I30">
        <v>200</v>
      </c>
      <c r="J30">
        <v>0</v>
      </c>
      <c r="K30" t="s">
        <v>1</v>
      </c>
      <c r="L30">
        <v>1092.5516</v>
      </c>
      <c r="M30">
        <v>2234.3161</v>
      </c>
      <c r="N30">
        <v>466.48020000000002</v>
      </c>
      <c r="O30">
        <v>501.45339999999999</v>
      </c>
      <c r="P30">
        <v>7.4973000000000001</v>
      </c>
      <c r="Q30">
        <v>0</v>
      </c>
      <c r="R30">
        <v>16147</v>
      </c>
      <c r="S30">
        <v>6465</v>
      </c>
      <c r="T30" t="s">
        <v>12</v>
      </c>
      <c r="U30" t="s">
        <v>300</v>
      </c>
      <c r="V30" s="2">
        <v>46109.145833333336</v>
      </c>
    </row>
    <row r="31" spans="1:29">
      <c r="A31" t="s">
        <v>275</v>
      </c>
      <c r="B31" t="s">
        <v>75</v>
      </c>
      <c r="C31">
        <v>0</v>
      </c>
      <c r="D31">
        <v>0</v>
      </c>
      <c r="E31">
        <v>22</v>
      </c>
      <c r="F31">
        <v>25</v>
      </c>
      <c r="G31">
        <v>27</v>
      </c>
      <c r="H31">
        <v>5</v>
      </c>
      <c r="I31">
        <v>200</v>
      </c>
      <c r="J31">
        <v>0</v>
      </c>
      <c r="K31" t="s">
        <v>1</v>
      </c>
      <c r="L31">
        <v>1092.5516</v>
      </c>
      <c r="M31">
        <v>3602.4569000000001</v>
      </c>
      <c r="N31">
        <v>466.48020000000002</v>
      </c>
      <c r="O31">
        <v>-1</v>
      </c>
      <c r="R31">
        <v>0</v>
      </c>
      <c r="S31">
        <v>0</v>
      </c>
      <c r="T31" t="s">
        <v>12</v>
      </c>
      <c r="U31" t="s">
        <v>28</v>
      </c>
      <c r="V31" s="2">
        <v>46109.1875</v>
      </c>
    </row>
    <row r="32" spans="1:29">
      <c r="A32" t="s">
        <v>266</v>
      </c>
      <c r="B32" t="s">
        <v>76</v>
      </c>
      <c r="C32">
        <v>0</v>
      </c>
      <c r="D32">
        <v>0</v>
      </c>
      <c r="E32">
        <v>0</v>
      </c>
      <c r="F32">
        <v>25</v>
      </c>
      <c r="G32">
        <v>27</v>
      </c>
      <c r="H32">
        <v>4</v>
      </c>
      <c r="I32">
        <v>200</v>
      </c>
      <c r="J32">
        <v>0</v>
      </c>
      <c r="K32" t="s">
        <v>1</v>
      </c>
      <c r="L32">
        <v>1201.3897999999999</v>
      </c>
      <c r="M32">
        <v>169.63300000000001</v>
      </c>
      <c r="N32">
        <v>429.2004</v>
      </c>
      <c r="O32">
        <v>425.26850000000002</v>
      </c>
      <c r="P32">
        <v>-0.91610000000000003</v>
      </c>
      <c r="Q32">
        <v>0</v>
      </c>
      <c r="R32">
        <v>1</v>
      </c>
      <c r="S32">
        <v>1156</v>
      </c>
      <c r="T32" t="s">
        <v>174</v>
      </c>
      <c r="U32" t="s">
        <v>301</v>
      </c>
      <c r="V32" s="2">
        <v>46109.203472222223</v>
      </c>
    </row>
    <row r="33" spans="1:22">
      <c r="A33" t="s">
        <v>269</v>
      </c>
      <c r="B33" t="s">
        <v>76</v>
      </c>
      <c r="C33">
        <v>0</v>
      </c>
      <c r="D33">
        <v>0</v>
      </c>
      <c r="E33">
        <v>1</v>
      </c>
      <c r="F33">
        <v>25</v>
      </c>
      <c r="G33">
        <v>27</v>
      </c>
      <c r="H33">
        <v>4</v>
      </c>
      <c r="I33">
        <v>200</v>
      </c>
      <c r="J33">
        <v>0</v>
      </c>
      <c r="K33" t="s">
        <v>1</v>
      </c>
      <c r="L33">
        <v>1201.3897999999999</v>
      </c>
      <c r="M33">
        <v>183.1797</v>
      </c>
      <c r="N33">
        <v>429.2004</v>
      </c>
      <c r="O33">
        <v>425.26850000000002</v>
      </c>
      <c r="P33">
        <v>-0.91610000000000003</v>
      </c>
      <c r="Q33">
        <v>0</v>
      </c>
      <c r="R33">
        <v>1</v>
      </c>
      <c r="S33">
        <v>1808</v>
      </c>
      <c r="T33" t="s">
        <v>174</v>
      </c>
      <c r="U33" t="s">
        <v>302</v>
      </c>
      <c r="V33" s="2">
        <v>46109.205555555556</v>
      </c>
    </row>
    <row r="34" spans="1:22">
      <c r="A34" t="s">
        <v>271</v>
      </c>
      <c r="B34" t="s">
        <v>76</v>
      </c>
      <c r="C34">
        <v>0</v>
      </c>
      <c r="D34">
        <v>0</v>
      </c>
      <c r="E34">
        <v>2</v>
      </c>
      <c r="F34">
        <v>25</v>
      </c>
      <c r="G34">
        <v>27</v>
      </c>
      <c r="H34">
        <v>4</v>
      </c>
      <c r="I34">
        <v>200</v>
      </c>
      <c r="J34">
        <v>0</v>
      </c>
      <c r="K34" t="s">
        <v>1</v>
      </c>
      <c r="L34">
        <v>1201.3897999999999</v>
      </c>
      <c r="M34">
        <v>246.2748</v>
      </c>
      <c r="N34">
        <v>429.2004</v>
      </c>
      <c r="O34">
        <v>425.26850000000002</v>
      </c>
      <c r="P34">
        <v>-0.91610000000000003</v>
      </c>
      <c r="Q34">
        <v>0</v>
      </c>
      <c r="R34">
        <v>1</v>
      </c>
      <c r="S34">
        <v>1976</v>
      </c>
      <c r="T34" t="s">
        <v>174</v>
      </c>
      <c r="U34" t="s">
        <v>301</v>
      </c>
      <c r="V34" s="2">
        <v>46109.208333333336</v>
      </c>
    </row>
    <row r="35" spans="1:22">
      <c r="A35" t="s">
        <v>273</v>
      </c>
      <c r="B35" t="s">
        <v>76</v>
      </c>
      <c r="C35">
        <v>0</v>
      </c>
      <c r="D35">
        <v>0</v>
      </c>
      <c r="E35">
        <v>3</v>
      </c>
      <c r="F35">
        <v>25</v>
      </c>
      <c r="G35">
        <v>27</v>
      </c>
      <c r="H35">
        <v>4</v>
      </c>
      <c r="I35">
        <v>200</v>
      </c>
      <c r="J35">
        <v>0</v>
      </c>
      <c r="K35" t="s">
        <v>1</v>
      </c>
      <c r="L35">
        <v>1201.3897999999999</v>
      </c>
      <c r="M35">
        <v>115.3156</v>
      </c>
      <c r="N35">
        <v>429.2004</v>
      </c>
      <c r="O35">
        <v>431.12639999999999</v>
      </c>
      <c r="P35">
        <v>0.44869999999999999</v>
      </c>
      <c r="Q35">
        <v>0</v>
      </c>
      <c r="R35">
        <v>193</v>
      </c>
      <c r="S35">
        <v>2296</v>
      </c>
      <c r="T35" t="s">
        <v>174</v>
      </c>
      <c r="U35" t="s">
        <v>303</v>
      </c>
      <c r="V35" s="2">
        <v>46109.209722222222</v>
      </c>
    </row>
    <row r="36" spans="1:22">
      <c r="A36" t="s">
        <v>275</v>
      </c>
      <c r="B36" t="s">
        <v>76</v>
      </c>
      <c r="C36">
        <v>0</v>
      </c>
      <c r="D36">
        <v>0</v>
      </c>
      <c r="E36">
        <v>22</v>
      </c>
      <c r="F36">
        <v>25</v>
      </c>
      <c r="G36">
        <v>27</v>
      </c>
      <c r="H36">
        <v>4</v>
      </c>
      <c r="I36">
        <v>200</v>
      </c>
      <c r="J36">
        <v>0</v>
      </c>
      <c r="K36" t="s">
        <v>1</v>
      </c>
      <c r="L36">
        <v>1201.3897999999999</v>
      </c>
      <c r="M36">
        <v>443.10219999999998</v>
      </c>
      <c r="N36">
        <v>429.2004</v>
      </c>
      <c r="O36">
        <v>425.26850000000002</v>
      </c>
      <c r="P36">
        <v>-0.91610000000000003</v>
      </c>
      <c r="Q36">
        <v>0</v>
      </c>
      <c r="R36">
        <v>1</v>
      </c>
      <c r="S36">
        <v>472</v>
      </c>
      <c r="T36" t="s">
        <v>174</v>
      </c>
      <c r="U36" t="s">
        <v>304</v>
      </c>
      <c r="V36" s="2">
        <v>46109.214583333334</v>
      </c>
    </row>
    <row r="37" spans="1:22">
      <c r="A37" t="s">
        <v>266</v>
      </c>
      <c r="B37" t="s">
        <v>77</v>
      </c>
      <c r="C37">
        <v>0</v>
      </c>
      <c r="D37">
        <v>0</v>
      </c>
      <c r="E37">
        <v>0</v>
      </c>
      <c r="F37">
        <v>25</v>
      </c>
      <c r="G37">
        <v>27</v>
      </c>
      <c r="H37">
        <v>4</v>
      </c>
      <c r="I37">
        <v>200</v>
      </c>
      <c r="J37">
        <v>0</v>
      </c>
      <c r="K37" t="s">
        <v>1</v>
      </c>
      <c r="L37">
        <v>1201.4456</v>
      </c>
      <c r="M37">
        <v>3618.3218999999999</v>
      </c>
      <c r="N37">
        <v>398.29469999999998</v>
      </c>
      <c r="O37">
        <v>418.35570000000001</v>
      </c>
      <c r="P37">
        <v>5.0366999999999997</v>
      </c>
      <c r="Q37">
        <v>0</v>
      </c>
      <c r="R37">
        <v>212</v>
      </c>
      <c r="S37">
        <v>5284</v>
      </c>
      <c r="T37" t="s">
        <v>177</v>
      </c>
      <c r="U37" t="s">
        <v>305</v>
      </c>
      <c r="V37" s="2">
        <v>46109.270138888889</v>
      </c>
    </row>
    <row r="38" spans="1:22">
      <c r="A38" t="s">
        <v>269</v>
      </c>
      <c r="B38" t="s">
        <v>77</v>
      </c>
      <c r="C38">
        <v>0</v>
      </c>
      <c r="D38">
        <v>0</v>
      </c>
      <c r="E38">
        <v>1</v>
      </c>
      <c r="F38">
        <v>25</v>
      </c>
      <c r="G38">
        <v>27</v>
      </c>
      <c r="H38">
        <v>4</v>
      </c>
      <c r="I38">
        <v>200</v>
      </c>
      <c r="J38">
        <v>0</v>
      </c>
      <c r="K38" t="s">
        <v>1</v>
      </c>
      <c r="L38">
        <v>1201.4456</v>
      </c>
      <c r="M38">
        <v>426.5231</v>
      </c>
      <c r="N38">
        <v>398.29469999999998</v>
      </c>
      <c r="O38">
        <v>398.29469999999998</v>
      </c>
      <c r="P38">
        <v>0</v>
      </c>
      <c r="Q38">
        <v>1</v>
      </c>
      <c r="R38">
        <v>9</v>
      </c>
      <c r="S38">
        <v>2032</v>
      </c>
      <c r="T38" t="s">
        <v>177</v>
      </c>
      <c r="U38" t="s">
        <v>306</v>
      </c>
      <c r="V38" s="2">
        <v>46109.275000000001</v>
      </c>
    </row>
    <row r="39" spans="1:22">
      <c r="A39" t="s">
        <v>271</v>
      </c>
      <c r="B39" t="s">
        <v>77</v>
      </c>
      <c r="C39">
        <v>0</v>
      </c>
      <c r="D39">
        <v>0</v>
      </c>
      <c r="E39">
        <v>2</v>
      </c>
      <c r="F39">
        <v>25</v>
      </c>
      <c r="G39">
        <v>27</v>
      </c>
      <c r="H39">
        <v>4</v>
      </c>
      <c r="I39">
        <v>200</v>
      </c>
      <c r="J39">
        <v>0</v>
      </c>
      <c r="K39" t="s">
        <v>1</v>
      </c>
      <c r="L39">
        <v>1201.4456</v>
      </c>
      <c r="M39">
        <v>1033.4836</v>
      </c>
      <c r="N39">
        <v>398.29469999999998</v>
      </c>
      <c r="O39">
        <v>398.29469999999998</v>
      </c>
      <c r="P39">
        <v>0</v>
      </c>
      <c r="Q39">
        <v>1</v>
      </c>
      <c r="R39">
        <v>95</v>
      </c>
      <c r="S39">
        <v>2328</v>
      </c>
      <c r="T39" t="s">
        <v>177</v>
      </c>
      <c r="U39" t="s">
        <v>307</v>
      </c>
      <c r="V39" s="2">
        <v>46109.287499999999</v>
      </c>
    </row>
    <row r="40" spans="1:22">
      <c r="A40" t="s">
        <v>273</v>
      </c>
      <c r="B40" t="s">
        <v>77</v>
      </c>
      <c r="C40">
        <v>0</v>
      </c>
      <c r="D40">
        <v>0</v>
      </c>
      <c r="E40">
        <v>3</v>
      </c>
      <c r="F40">
        <v>25</v>
      </c>
      <c r="G40">
        <v>27</v>
      </c>
      <c r="H40">
        <v>4</v>
      </c>
      <c r="I40">
        <v>200</v>
      </c>
      <c r="J40">
        <v>0</v>
      </c>
      <c r="K40" t="s">
        <v>1</v>
      </c>
      <c r="L40">
        <v>1201.4456</v>
      </c>
      <c r="M40">
        <v>170.82660000000001</v>
      </c>
      <c r="N40">
        <v>398.29469999999998</v>
      </c>
      <c r="O40">
        <v>412.68130000000002</v>
      </c>
      <c r="P40">
        <v>3.6120000000000001</v>
      </c>
      <c r="Q40">
        <v>0</v>
      </c>
      <c r="R40">
        <v>227</v>
      </c>
      <c r="S40">
        <v>2972</v>
      </c>
      <c r="T40" t="s">
        <v>177</v>
      </c>
      <c r="U40" t="s">
        <v>308</v>
      </c>
      <c r="V40" s="2">
        <v>46109.289583333331</v>
      </c>
    </row>
    <row r="41" spans="1:22">
      <c r="A41" t="s">
        <v>275</v>
      </c>
      <c r="B41" t="s">
        <v>77</v>
      </c>
      <c r="C41">
        <v>0</v>
      </c>
      <c r="D41">
        <v>0</v>
      </c>
      <c r="E41">
        <v>22</v>
      </c>
      <c r="F41">
        <v>25</v>
      </c>
      <c r="G41">
        <v>27</v>
      </c>
      <c r="H41">
        <v>4</v>
      </c>
      <c r="I41">
        <v>200</v>
      </c>
      <c r="J41">
        <v>0</v>
      </c>
      <c r="K41" t="s">
        <v>1</v>
      </c>
      <c r="L41">
        <v>1201.4456</v>
      </c>
      <c r="M41">
        <v>3603.5279</v>
      </c>
      <c r="N41">
        <v>398.29469999999998</v>
      </c>
      <c r="O41">
        <v>413.99369999999999</v>
      </c>
      <c r="P41">
        <v>3.9416000000000002</v>
      </c>
      <c r="Q41">
        <v>0</v>
      </c>
      <c r="R41">
        <v>469</v>
      </c>
      <c r="S41">
        <v>1976</v>
      </c>
      <c r="T41" t="s">
        <v>177</v>
      </c>
      <c r="U41" t="s">
        <v>309</v>
      </c>
      <c r="V41" s="2">
        <v>46109.331250000003</v>
      </c>
    </row>
    <row r="42" spans="1:22">
      <c r="A42" t="s">
        <v>266</v>
      </c>
      <c r="B42" t="s">
        <v>78</v>
      </c>
      <c r="C42">
        <v>0</v>
      </c>
      <c r="D42">
        <v>0</v>
      </c>
      <c r="E42">
        <v>0</v>
      </c>
      <c r="F42">
        <v>25</v>
      </c>
      <c r="G42">
        <v>27</v>
      </c>
      <c r="H42">
        <v>5</v>
      </c>
      <c r="I42">
        <v>200</v>
      </c>
      <c r="J42">
        <v>0</v>
      </c>
      <c r="K42" t="s">
        <v>1</v>
      </c>
      <c r="L42">
        <v>80.721000000000004</v>
      </c>
      <c r="M42">
        <v>128.85300000000001</v>
      </c>
      <c r="N42">
        <v>442.62520000000001</v>
      </c>
      <c r="O42">
        <v>442.62520000000001</v>
      </c>
      <c r="P42">
        <v>0</v>
      </c>
      <c r="Q42">
        <v>1</v>
      </c>
      <c r="R42">
        <v>1</v>
      </c>
      <c r="S42">
        <v>1495</v>
      </c>
      <c r="T42" t="s">
        <v>17</v>
      </c>
      <c r="U42" t="s">
        <v>310</v>
      </c>
      <c r="V42" s="2">
        <v>46109.333333333336</v>
      </c>
    </row>
    <row r="43" spans="1:22">
      <c r="A43" t="s">
        <v>269</v>
      </c>
      <c r="B43" t="s">
        <v>78</v>
      </c>
      <c r="C43">
        <v>0</v>
      </c>
      <c r="D43">
        <v>0</v>
      </c>
      <c r="E43">
        <v>1</v>
      </c>
      <c r="F43">
        <v>25</v>
      </c>
      <c r="G43">
        <v>27</v>
      </c>
      <c r="H43">
        <v>5</v>
      </c>
      <c r="I43">
        <v>200</v>
      </c>
      <c r="J43">
        <v>0</v>
      </c>
      <c r="K43" t="s">
        <v>1</v>
      </c>
      <c r="L43">
        <v>80.721000000000004</v>
      </c>
      <c r="M43">
        <v>93.267700000000005</v>
      </c>
      <c r="N43">
        <v>442.62520000000001</v>
      </c>
      <c r="O43">
        <v>442.62520000000001</v>
      </c>
      <c r="P43">
        <v>0</v>
      </c>
      <c r="Q43">
        <v>1</v>
      </c>
      <c r="R43">
        <v>1</v>
      </c>
      <c r="S43">
        <v>1465</v>
      </c>
      <c r="T43" t="s">
        <v>17</v>
      </c>
      <c r="U43" t="s">
        <v>311</v>
      </c>
      <c r="V43" s="2">
        <v>46109.334722222222</v>
      </c>
    </row>
    <row r="44" spans="1:22">
      <c r="A44" t="s">
        <v>271</v>
      </c>
      <c r="B44" t="s">
        <v>78</v>
      </c>
      <c r="C44">
        <v>0</v>
      </c>
      <c r="D44">
        <v>0</v>
      </c>
      <c r="E44">
        <v>2</v>
      </c>
      <c r="F44">
        <v>25</v>
      </c>
      <c r="G44">
        <v>27</v>
      </c>
      <c r="H44">
        <v>5</v>
      </c>
      <c r="I44">
        <v>200</v>
      </c>
      <c r="J44">
        <v>0</v>
      </c>
      <c r="K44" t="s">
        <v>1</v>
      </c>
      <c r="L44">
        <v>80.721000000000004</v>
      </c>
      <c r="M44">
        <v>111.8622</v>
      </c>
      <c r="N44">
        <v>442.62520000000001</v>
      </c>
      <c r="O44">
        <v>442.62520000000001</v>
      </c>
      <c r="P44">
        <v>0</v>
      </c>
      <c r="Q44">
        <v>1</v>
      </c>
      <c r="R44">
        <v>1</v>
      </c>
      <c r="S44">
        <v>1470</v>
      </c>
      <c r="T44" t="s">
        <v>17</v>
      </c>
      <c r="U44" t="s">
        <v>312</v>
      </c>
      <c r="V44" s="2">
        <v>46109.336111111108</v>
      </c>
    </row>
    <row r="45" spans="1:22">
      <c r="A45" t="s">
        <v>273</v>
      </c>
      <c r="B45" t="s">
        <v>78</v>
      </c>
      <c r="C45">
        <v>0</v>
      </c>
      <c r="D45">
        <v>0</v>
      </c>
      <c r="E45">
        <v>3</v>
      </c>
      <c r="F45">
        <v>25</v>
      </c>
      <c r="G45">
        <v>27</v>
      </c>
      <c r="H45">
        <v>5</v>
      </c>
      <c r="I45">
        <v>200</v>
      </c>
      <c r="J45">
        <v>0</v>
      </c>
      <c r="K45" t="s">
        <v>1</v>
      </c>
      <c r="L45">
        <v>80.721000000000004</v>
      </c>
      <c r="M45">
        <v>4.5376000000000003</v>
      </c>
      <c r="N45">
        <v>442.62520000000001</v>
      </c>
      <c r="O45">
        <v>474.33210000000003</v>
      </c>
      <c r="P45">
        <v>7.1634000000000002</v>
      </c>
      <c r="Q45">
        <v>0</v>
      </c>
      <c r="R45">
        <v>1</v>
      </c>
      <c r="S45">
        <v>1205</v>
      </c>
      <c r="T45" t="s">
        <v>17</v>
      </c>
      <c r="U45" t="s">
        <v>313</v>
      </c>
      <c r="V45" s="2">
        <v>46109.336111111108</v>
      </c>
    </row>
    <row r="46" spans="1:22">
      <c r="A46" t="s">
        <v>275</v>
      </c>
      <c r="B46" t="s">
        <v>78</v>
      </c>
      <c r="C46">
        <v>0</v>
      </c>
      <c r="D46">
        <v>0</v>
      </c>
      <c r="E46">
        <v>22</v>
      </c>
      <c r="F46">
        <v>25</v>
      </c>
      <c r="G46">
        <v>27</v>
      </c>
      <c r="H46">
        <v>5</v>
      </c>
      <c r="I46">
        <v>200</v>
      </c>
      <c r="J46">
        <v>0</v>
      </c>
      <c r="K46" t="s">
        <v>1</v>
      </c>
      <c r="L46">
        <v>80.721000000000004</v>
      </c>
      <c r="M46">
        <v>350.23110000000003</v>
      </c>
      <c r="N46">
        <v>442.62520000000001</v>
      </c>
      <c r="O46">
        <v>442.62520000000001</v>
      </c>
      <c r="P46">
        <v>0</v>
      </c>
      <c r="Q46">
        <v>1</v>
      </c>
      <c r="R46">
        <v>1</v>
      </c>
      <c r="S46">
        <v>515</v>
      </c>
      <c r="T46" t="s">
        <v>17</v>
      </c>
      <c r="U46" t="s">
        <v>314</v>
      </c>
      <c r="V46" s="2">
        <v>46109.339583333334</v>
      </c>
    </row>
    <row r="47" spans="1:22">
      <c r="A47" t="s">
        <v>266</v>
      </c>
      <c r="B47" t="s">
        <v>79</v>
      </c>
      <c r="C47">
        <v>0</v>
      </c>
      <c r="D47">
        <v>0</v>
      </c>
      <c r="E47">
        <v>0</v>
      </c>
      <c r="F47">
        <v>25</v>
      </c>
      <c r="G47">
        <v>27</v>
      </c>
      <c r="H47">
        <v>4</v>
      </c>
      <c r="I47">
        <v>200</v>
      </c>
      <c r="J47">
        <v>0</v>
      </c>
      <c r="K47" t="s">
        <v>1</v>
      </c>
      <c r="L47">
        <v>1201.6729</v>
      </c>
      <c r="M47">
        <v>1171.8680999999999</v>
      </c>
      <c r="N47">
        <v>-1</v>
      </c>
      <c r="O47">
        <v>445.87220000000002</v>
      </c>
      <c r="R47">
        <v>129</v>
      </c>
      <c r="S47">
        <v>1704</v>
      </c>
      <c r="T47" t="s">
        <v>8</v>
      </c>
      <c r="U47" t="s">
        <v>315</v>
      </c>
      <c r="V47" s="2">
        <v>46109.367361111108</v>
      </c>
    </row>
    <row r="48" spans="1:22">
      <c r="A48" t="s">
        <v>269</v>
      </c>
      <c r="B48" t="s">
        <v>79</v>
      </c>
      <c r="C48">
        <v>0</v>
      </c>
      <c r="D48">
        <v>0</v>
      </c>
      <c r="E48">
        <v>1</v>
      </c>
      <c r="F48">
        <v>25</v>
      </c>
      <c r="G48">
        <v>27</v>
      </c>
      <c r="H48">
        <v>4</v>
      </c>
      <c r="I48">
        <v>200</v>
      </c>
      <c r="J48">
        <v>0</v>
      </c>
      <c r="K48" t="s">
        <v>1</v>
      </c>
      <c r="L48">
        <v>1201.6729</v>
      </c>
      <c r="M48">
        <v>484.53980000000001</v>
      </c>
      <c r="N48">
        <v>-1</v>
      </c>
      <c r="O48">
        <v>445.87220000000002</v>
      </c>
      <c r="R48">
        <v>99</v>
      </c>
      <c r="S48">
        <v>1744</v>
      </c>
      <c r="T48" t="s">
        <v>8</v>
      </c>
      <c r="U48" t="s">
        <v>316</v>
      </c>
      <c r="V48" s="2">
        <v>46109.372916666667</v>
      </c>
    </row>
    <row r="49" spans="1:22">
      <c r="A49" t="s">
        <v>271</v>
      </c>
      <c r="B49" t="s">
        <v>79</v>
      </c>
      <c r="C49">
        <v>0</v>
      </c>
      <c r="D49">
        <v>0</v>
      </c>
      <c r="E49">
        <v>2</v>
      </c>
      <c r="F49">
        <v>25</v>
      </c>
      <c r="G49">
        <v>27</v>
      </c>
      <c r="H49">
        <v>4</v>
      </c>
      <c r="I49">
        <v>200</v>
      </c>
      <c r="J49">
        <v>0</v>
      </c>
      <c r="K49" t="s">
        <v>1</v>
      </c>
      <c r="L49">
        <v>1201.6729</v>
      </c>
      <c r="M49">
        <v>952.60149999999999</v>
      </c>
      <c r="N49">
        <v>-1</v>
      </c>
      <c r="O49">
        <v>445.87220000000002</v>
      </c>
      <c r="R49">
        <v>131</v>
      </c>
      <c r="S49">
        <v>2424</v>
      </c>
      <c r="T49" t="s">
        <v>8</v>
      </c>
      <c r="U49" t="s">
        <v>19</v>
      </c>
      <c r="V49" s="2">
        <v>46109.384027777778</v>
      </c>
    </row>
    <row r="50" spans="1:22">
      <c r="A50" t="s">
        <v>273</v>
      </c>
      <c r="B50" t="s">
        <v>79</v>
      </c>
      <c r="C50">
        <v>0</v>
      </c>
      <c r="D50">
        <v>0</v>
      </c>
      <c r="E50">
        <v>3</v>
      </c>
      <c r="F50">
        <v>25</v>
      </c>
      <c r="G50">
        <v>27</v>
      </c>
      <c r="H50">
        <v>4</v>
      </c>
      <c r="I50">
        <v>200</v>
      </c>
      <c r="J50">
        <v>0</v>
      </c>
      <c r="K50" t="s">
        <v>1</v>
      </c>
      <c r="L50">
        <v>1201.6729</v>
      </c>
      <c r="M50">
        <v>285.8956</v>
      </c>
      <c r="N50">
        <v>-1</v>
      </c>
      <c r="O50">
        <v>463.75439999999998</v>
      </c>
      <c r="R50">
        <v>641</v>
      </c>
      <c r="S50">
        <v>3308</v>
      </c>
      <c r="T50" t="s">
        <v>8</v>
      </c>
      <c r="U50" t="s">
        <v>317</v>
      </c>
      <c r="V50" s="2">
        <v>46109.387499999997</v>
      </c>
    </row>
    <row r="51" spans="1:22">
      <c r="A51" t="s">
        <v>275</v>
      </c>
      <c r="B51" t="s">
        <v>79</v>
      </c>
      <c r="C51">
        <v>0</v>
      </c>
      <c r="D51">
        <v>0</v>
      </c>
      <c r="E51">
        <v>22</v>
      </c>
      <c r="F51">
        <v>25</v>
      </c>
      <c r="G51">
        <v>27</v>
      </c>
      <c r="H51">
        <v>4</v>
      </c>
      <c r="I51">
        <v>200</v>
      </c>
      <c r="J51">
        <v>0</v>
      </c>
      <c r="K51" t="s">
        <v>1</v>
      </c>
      <c r="L51">
        <v>1201.6729</v>
      </c>
      <c r="M51">
        <v>3602.4666000000002</v>
      </c>
      <c r="N51">
        <v>-1</v>
      </c>
      <c r="O51">
        <v>445.87220000000002</v>
      </c>
      <c r="R51">
        <v>989</v>
      </c>
      <c r="S51">
        <v>908</v>
      </c>
      <c r="T51" t="s">
        <v>8</v>
      </c>
      <c r="U51" t="s">
        <v>318</v>
      </c>
      <c r="V51" s="2">
        <v>46109.429166666669</v>
      </c>
    </row>
    <row r="52" spans="1:22">
      <c r="A52" t="s">
        <v>266</v>
      </c>
      <c r="B52" t="s">
        <v>80</v>
      </c>
      <c r="C52">
        <v>0</v>
      </c>
      <c r="D52">
        <v>0</v>
      </c>
      <c r="E52">
        <v>0</v>
      </c>
      <c r="F52">
        <v>25</v>
      </c>
      <c r="G52">
        <v>27</v>
      </c>
      <c r="H52">
        <v>4</v>
      </c>
      <c r="I52">
        <v>200</v>
      </c>
      <c r="J52">
        <v>0</v>
      </c>
      <c r="K52" t="s">
        <v>1</v>
      </c>
      <c r="L52">
        <v>1201.3062</v>
      </c>
      <c r="M52">
        <v>491.49450000000002</v>
      </c>
      <c r="N52">
        <v>440.9024</v>
      </c>
      <c r="O52">
        <v>429.6968</v>
      </c>
      <c r="P52">
        <v>-2.5415000000000001</v>
      </c>
      <c r="Q52">
        <v>0</v>
      </c>
      <c r="R52">
        <v>33</v>
      </c>
      <c r="S52">
        <v>1356</v>
      </c>
      <c r="T52" t="s">
        <v>186</v>
      </c>
      <c r="U52" t="s">
        <v>20</v>
      </c>
      <c r="V52" s="2">
        <v>46109.448611111111</v>
      </c>
    </row>
    <row r="53" spans="1:22">
      <c r="A53" t="s">
        <v>269</v>
      </c>
      <c r="B53" t="s">
        <v>80</v>
      </c>
      <c r="C53">
        <v>0</v>
      </c>
      <c r="D53">
        <v>0</v>
      </c>
      <c r="E53">
        <v>1</v>
      </c>
      <c r="F53">
        <v>25</v>
      </c>
      <c r="G53">
        <v>27</v>
      </c>
      <c r="H53">
        <v>4</v>
      </c>
      <c r="I53">
        <v>200</v>
      </c>
      <c r="J53">
        <v>0</v>
      </c>
      <c r="K53" t="s">
        <v>1</v>
      </c>
      <c r="L53">
        <v>1201.3062</v>
      </c>
      <c r="M53">
        <v>294.95929999999998</v>
      </c>
      <c r="N53">
        <v>440.9024</v>
      </c>
      <c r="O53">
        <v>429.6968</v>
      </c>
      <c r="P53">
        <v>-2.5415000000000001</v>
      </c>
      <c r="Q53">
        <v>0</v>
      </c>
      <c r="R53">
        <v>23</v>
      </c>
      <c r="S53">
        <v>1972</v>
      </c>
      <c r="T53" t="s">
        <v>186</v>
      </c>
      <c r="U53" t="s">
        <v>319</v>
      </c>
      <c r="V53" s="2">
        <v>46109.45208333333</v>
      </c>
    </row>
    <row r="54" spans="1:22">
      <c r="A54" t="s">
        <v>271</v>
      </c>
      <c r="B54" t="s">
        <v>80</v>
      </c>
      <c r="C54">
        <v>0</v>
      </c>
      <c r="D54">
        <v>0</v>
      </c>
      <c r="E54">
        <v>2</v>
      </c>
      <c r="F54">
        <v>25</v>
      </c>
      <c r="G54">
        <v>27</v>
      </c>
      <c r="H54">
        <v>4</v>
      </c>
      <c r="I54">
        <v>200</v>
      </c>
      <c r="J54">
        <v>0</v>
      </c>
      <c r="K54" t="s">
        <v>1</v>
      </c>
      <c r="L54">
        <v>1201.3062</v>
      </c>
      <c r="M54">
        <v>347.7278</v>
      </c>
      <c r="N54">
        <v>440.9024</v>
      </c>
      <c r="O54">
        <v>429.6968</v>
      </c>
      <c r="P54">
        <v>-2.5415000000000001</v>
      </c>
      <c r="Q54">
        <v>0</v>
      </c>
      <c r="R54">
        <v>23</v>
      </c>
      <c r="S54">
        <v>1864</v>
      </c>
      <c r="T54" t="s">
        <v>186</v>
      </c>
      <c r="U54" t="s">
        <v>320</v>
      </c>
      <c r="V54" s="2">
        <v>46109.456250000003</v>
      </c>
    </row>
    <row r="55" spans="1:22">
      <c r="A55" t="s">
        <v>273</v>
      </c>
      <c r="B55" t="s">
        <v>80</v>
      </c>
      <c r="C55">
        <v>0</v>
      </c>
      <c r="D55">
        <v>0</v>
      </c>
      <c r="E55">
        <v>3</v>
      </c>
      <c r="F55">
        <v>25</v>
      </c>
      <c r="G55">
        <v>27</v>
      </c>
      <c r="H55">
        <v>4</v>
      </c>
      <c r="I55">
        <v>200</v>
      </c>
      <c r="J55">
        <v>0</v>
      </c>
      <c r="K55" t="s">
        <v>1</v>
      </c>
      <c r="L55">
        <v>1201.3062</v>
      </c>
      <c r="M55">
        <v>284.09190000000001</v>
      </c>
      <c r="N55">
        <v>440.9024</v>
      </c>
      <c r="O55">
        <v>445.80369999999999</v>
      </c>
      <c r="P55">
        <v>1.1116999999999999</v>
      </c>
      <c r="Q55">
        <v>0</v>
      </c>
      <c r="R55">
        <v>309</v>
      </c>
      <c r="S55">
        <v>4940</v>
      </c>
      <c r="T55" t="s">
        <v>186</v>
      </c>
      <c r="U55" t="s">
        <v>321</v>
      </c>
      <c r="V55" s="2">
        <v>46109.459027777775</v>
      </c>
    </row>
    <row r="56" spans="1:22">
      <c r="A56" t="s">
        <v>275</v>
      </c>
      <c r="B56" t="s">
        <v>80</v>
      </c>
      <c r="C56">
        <v>0</v>
      </c>
      <c r="D56">
        <v>0</v>
      </c>
      <c r="E56">
        <v>22</v>
      </c>
      <c r="F56">
        <v>25</v>
      </c>
      <c r="G56">
        <v>27</v>
      </c>
      <c r="H56">
        <v>4</v>
      </c>
      <c r="I56">
        <v>200</v>
      </c>
      <c r="J56">
        <v>0</v>
      </c>
      <c r="K56" t="s">
        <v>1</v>
      </c>
      <c r="L56">
        <v>1201.3062</v>
      </c>
      <c r="M56">
        <v>710.84969999999998</v>
      </c>
      <c r="N56">
        <v>440.9024</v>
      </c>
      <c r="O56">
        <v>429.6968</v>
      </c>
      <c r="P56">
        <v>-2.5415000000000001</v>
      </c>
      <c r="Q56">
        <v>0</v>
      </c>
      <c r="R56">
        <v>35</v>
      </c>
      <c r="S56">
        <v>604</v>
      </c>
      <c r="T56" t="s">
        <v>186</v>
      </c>
      <c r="U56" t="s">
        <v>322</v>
      </c>
      <c r="V56" s="2">
        <v>46109.467361111114</v>
      </c>
    </row>
    <row r="57" spans="1:22">
      <c r="A57" t="s">
        <v>266</v>
      </c>
      <c r="B57" t="s">
        <v>71</v>
      </c>
      <c r="C57">
        <v>0</v>
      </c>
      <c r="D57">
        <v>0</v>
      </c>
      <c r="E57">
        <v>0</v>
      </c>
      <c r="F57">
        <v>25</v>
      </c>
      <c r="G57">
        <v>27</v>
      </c>
      <c r="H57">
        <v>4</v>
      </c>
      <c r="I57">
        <v>200</v>
      </c>
      <c r="J57">
        <v>0</v>
      </c>
      <c r="K57" t="s">
        <v>1</v>
      </c>
      <c r="L57">
        <v>1201.2570000000001</v>
      </c>
      <c r="M57">
        <v>2295.7177999999999</v>
      </c>
      <c r="N57">
        <v>394.10129999999998</v>
      </c>
      <c r="O57">
        <v>396.98379999999997</v>
      </c>
      <c r="P57">
        <v>0.73140000000000005</v>
      </c>
      <c r="Q57">
        <v>0</v>
      </c>
      <c r="R57">
        <v>489</v>
      </c>
      <c r="S57">
        <v>2204</v>
      </c>
      <c r="T57" t="s">
        <v>21</v>
      </c>
      <c r="U57" t="s">
        <v>323</v>
      </c>
      <c r="V57" s="2">
        <v>46109.508333333331</v>
      </c>
    </row>
    <row r="58" spans="1:22">
      <c r="A58" t="s">
        <v>269</v>
      </c>
      <c r="B58" t="s">
        <v>71</v>
      </c>
      <c r="C58">
        <v>0</v>
      </c>
      <c r="D58">
        <v>0</v>
      </c>
      <c r="E58">
        <v>1</v>
      </c>
      <c r="F58">
        <v>25</v>
      </c>
      <c r="G58">
        <v>27</v>
      </c>
      <c r="H58">
        <v>4</v>
      </c>
      <c r="I58">
        <v>200</v>
      </c>
      <c r="J58">
        <v>0</v>
      </c>
      <c r="K58" t="s">
        <v>1</v>
      </c>
      <c r="L58">
        <v>1201.2570000000001</v>
      </c>
      <c r="M58">
        <v>2191.9139</v>
      </c>
      <c r="N58">
        <v>394.10129999999998</v>
      </c>
      <c r="O58">
        <v>396.98379999999997</v>
      </c>
      <c r="P58">
        <v>0.73140000000000005</v>
      </c>
      <c r="Q58">
        <v>0</v>
      </c>
      <c r="R58">
        <v>293</v>
      </c>
      <c r="S58">
        <v>2900</v>
      </c>
      <c r="T58" t="s">
        <v>21</v>
      </c>
      <c r="U58" t="s">
        <v>324</v>
      </c>
      <c r="V58" s="2">
        <v>46109.533333333333</v>
      </c>
    </row>
    <row r="59" spans="1:22">
      <c r="A59" t="s">
        <v>271</v>
      </c>
      <c r="B59" t="s">
        <v>71</v>
      </c>
      <c r="C59">
        <v>0</v>
      </c>
      <c r="D59">
        <v>0</v>
      </c>
      <c r="E59">
        <v>2</v>
      </c>
      <c r="F59">
        <v>25</v>
      </c>
      <c r="G59">
        <v>27</v>
      </c>
      <c r="H59">
        <v>4</v>
      </c>
      <c r="I59">
        <v>200</v>
      </c>
      <c r="J59">
        <v>0</v>
      </c>
      <c r="K59" t="s">
        <v>1</v>
      </c>
      <c r="L59">
        <v>1201.2570000000001</v>
      </c>
      <c r="M59">
        <v>1488.6919</v>
      </c>
      <c r="N59">
        <v>394.10129999999998</v>
      </c>
      <c r="O59">
        <v>394.10129999999998</v>
      </c>
      <c r="P59">
        <v>0</v>
      </c>
      <c r="Q59">
        <v>1</v>
      </c>
      <c r="R59">
        <v>147</v>
      </c>
      <c r="S59">
        <v>2548</v>
      </c>
      <c r="T59" t="s">
        <v>21</v>
      </c>
      <c r="U59" t="s">
        <v>325</v>
      </c>
      <c r="V59" s="2">
        <v>46109.550694444442</v>
      </c>
    </row>
    <row r="60" spans="1:22">
      <c r="A60" t="s">
        <v>273</v>
      </c>
      <c r="B60" t="s">
        <v>71</v>
      </c>
      <c r="C60">
        <v>0</v>
      </c>
      <c r="D60">
        <v>0</v>
      </c>
      <c r="E60">
        <v>3</v>
      </c>
      <c r="F60">
        <v>25</v>
      </c>
      <c r="G60">
        <v>27</v>
      </c>
      <c r="H60">
        <v>4</v>
      </c>
      <c r="I60">
        <v>200</v>
      </c>
      <c r="J60">
        <v>0</v>
      </c>
      <c r="K60" t="s">
        <v>1</v>
      </c>
      <c r="L60">
        <v>1201.2570000000001</v>
      </c>
      <c r="M60">
        <v>67.707400000000007</v>
      </c>
      <c r="N60">
        <v>394.10129999999998</v>
      </c>
      <c r="O60">
        <v>394.10129999999998</v>
      </c>
      <c r="P60">
        <v>0</v>
      </c>
      <c r="Q60">
        <v>1</v>
      </c>
      <c r="R60">
        <v>75</v>
      </c>
      <c r="S60">
        <v>1708</v>
      </c>
      <c r="T60" t="s">
        <v>21</v>
      </c>
      <c r="U60" t="s">
        <v>325</v>
      </c>
      <c r="V60" s="2">
        <v>46109.551388888889</v>
      </c>
    </row>
    <row r="61" spans="1:22">
      <c r="A61" t="s">
        <v>275</v>
      </c>
      <c r="B61" t="s">
        <v>71</v>
      </c>
      <c r="C61">
        <v>0</v>
      </c>
      <c r="D61">
        <v>0</v>
      </c>
      <c r="E61">
        <v>22</v>
      </c>
      <c r="F61">
        <v>25</v>
      </c>
      <c r="G61">
        <v>27</v>
      </c>
      <c r="H61">
        <v>4</v>
      </c>
      <c r="I61">
        <v>200</v>
      </c>
      <c r="J61">
        <v>0</v>
      </c>
      <c r="K61" t="s">
        <v>1</v>
      </c>
      <c r="L61">
        <v>1201.2570000000001</v>
      </c>
      <c r="M61">
        <v>3601.7314000000001</v>
      </c>
      <c r="N61">
        <v>394.10129999999998</v>
      </c>
      <c r="O61">
        <v>-1</v>
      </c>
      <c r="R61">
        <v>0</v>
      </c>
      <c r="S61">
        <v>0</v>
      </c>
      <c r="T61" t="s">
        <v>21</v>
      </c>
      <c r="U61" t="s">
        <v>28</v>
      </c>
      <c r="V61" s="2">
        <v>46109.593055555553</v>
      </c>
    </row>
    <row r="62" spans="1:22">
      <c r="A62" t="s">
        <v>266</v>
      </c>
      <c r="B62" t="s">
        <v>64</v>
      </c>
      <c r="C62">
        <v>0</v>
      </c>
      <c r="D62">
        <v>0</v>
      </c>
      <c r="E62">
        <v>0</v>
      </c>
      <c r="F62">
        <v>25</v>
      </c>
      <c r="G62">
        <v>27</v>
      </c>
      <c r="H62">
        <v>3</v>
      </c>
      <c r="I62">
        <v>200</v>
      </c>
      <c r="J62">
        <v>0</v>
      </c>
      <c r="K62" t="s">
        <v>1</v>
      </c>
      <c r="L62">
        <v>4.4667000000000003</v>
      </c>
      <c r="M62">
        <v>3605.6968000000002</v>
      </c>
      <c r="N62">
        <v>268.53250000000003</v>
      </c>
      <c r="O62">
        <v>273.78120000000001</v>
      </c>
      <c r="P62">
        <v>1.9545999999999999</v>
      </c>
      <c r="Q62">
        <v>0</v>
      </c>
      <c r="R62">
        <v>77</v>
      </c>
      <c r="S62">
        <v>5121</v>
      </c>
      <c r="T62" t="s">
        <v>23</v>
      </c>
      <c r="U62" t="s">
        <v>326</v>
      </c>
      <c r="V62" s="2">
        <v>46109.634722222225</v>
      </c>
    </row>
    <row r="63" spans="1:22">
      <c r="A63" t="s">
        <v>269</v>
      </c>
      <c r="B63" t="s">
        <v>64</v>
      </c>
      <c r="C63">
        <v>0</v>
      </c>
      <c r="D63">
        <v>0</v>
      </c>
      <c r="E63">
        <v>1</v>
      </c>
      <c r="F63">
        <v>25</v>
      </c>
      <c r="G63">
        <v>27</v>
      </c>
      <c r="H63">
        <v>3</v>
      </c>
      <c r="I63">
        <v>200</v>
      </c>
      <c r="J63">
        <v>0</v>
      </c>
      <c r="K63" t="s">
        <v>1</v>
      </c>
      <c r="L63">
        <v>4.4667000000000003</v>
      </c>
      <c r="M63">
        <v>3521.4807999999998</v>
      </c>
      <c r="N63">
        <v>268.53250000000003</v>
      </c>
      <c r="O63">
        <v>268.85309999999998</v>
      </c>
      <c r="P63">
        <v>0.11940000000000001</v>
      </c>
      <c r="Q63">
        <v>0</v>
      </c>
      <c r="R63">
        <v>803</v>
      </c>
      <c r="S63">
        <v>3870</v>
      </c>
      <c r="T63" t="s">
        <v>23</v>
      </c>
      <c r="U63" t="s">
        <v>327</v>
      </c>
      <c r="V63" s="2">
        <v>46109.675694444442</v>
      </c>
    </row>
    <row r="64" spans="1:22">
      <c r="A64" t="s">
        <v>271</v>
      </c>
      <c r="B64" t="s">
        <v>64</v>
      </c>
      <c r="C64">
        <v>0</v>
      </c>
      <c r="D64">
        <v>0</v>
      </c>
      <c r="E64">
        <v>2</v>
      </c>
      <c r="F64">
        <v>25</v>
      </c>
      <c r="G64">
        <v>27</v>
      </c>
      <c r="H64">
        <v>3</v>
      </c>
      <c r="I64">
        <v>200</v>
      </c>
      <c r="J64">
        <v>0</v>
      </c>
      <c r="K64" t="s">
        <v>1</v>
      </c>
      <c r="L64">
        <v>4.4667000000000003</v>
      </c>
      <c r="M64">
        <v>2583.7683999999999</v>
      </c>
      <c r="N64">
        <v>268.53250000000003</v>
      </c>
      <c r="O64">
        <v>268.85309999999998</v>
      </c>
      <c r="P64">
        <v>0.11940000000000001</v>
      </c>
      <c r="Q64">
        <v>0</v>
      </c>
      <c r="R64">
        <v>89</v>
      </c>
      <c r="S64">
        <v>2421</v>
      </c>
      <c r="T64" t="s">
        <v>23</v>
      </c>
      <c r="U64" t="s">
        <v>328</v>
      </c>
      <c r="V64" s="2">
        <v>46109.705555555556</v>
      </c>
    </row>
    <row r="65" spans="1:22">
      <c r="A65" t="s">
        <v>273</v>
      </c>
      <c r="B65" t="s">
        <v>64</v>
      </c>
      <c r="C65">
        <v>0</v>
      </c>
      <c r="D65">
        <v>0</v>
      </c>
      <c r="E65">
        <v>3</v>
      </c>
      <c r="F65">
        <v>25</v>
      </c>
      <c r="G65">
        <v>27</v>
      </c>
      <c r="H65">
        <v>3</v>
      </c>
      <c r="I65">
        <v>200</v>
      </c>
      <c r="J65">
        <v>0</v>
      </c>
      <c r="K65" t="s">
        <v>1</v>
      </c>
      <c r="L65">
        <v>4.4667000000000003</v>
      </c>
      <c r="M65">
        <v>1496.4501</v>
      </c>
      <c r="N65">
        <v>268.53250000000003</v>
      </c>
      <c r="O65">
        <v>291.20870000000002</v>
      </c>
      <c r="P65">
        <v>8.4444999999999997</v>
      </c>
      <c r="Q65">
        <v>0</v>
      </c>
      <c r="R65">
        <v>3207</v>
      </c>
      <c r="S65">
        <v>12054</v>
      </c>
      <c r="T65" t="s">
        <v>23</v>
      </c>
      <c r="U65" t="s">
        <v>329</v>
      </c>
      <c r="V65" s="2">
        <v>46109.722916666666</v>
      </c>
    </row>
    <row r="66" spans="1:22">
      <c r="A66" t="s">
        <v>275</v>
      </c>
      <c r="B66" t="s">
        <v>64</v>
      </c>
      <c r="C66">
        <v>0</v>
      </c>
      <c r="D66">
        <v>0</v>
      </c>
      <c r="E66">
        <v>22</v>
      </c>
      <c r="F66">
        <v>25</v>
      </c>
      <c r="G66">
        <v>27</v>
      </c>
      <c r="H66">
        <v>3</v>
      </c>
      <c r="I66">
        <v>200</v>
      </c>
      <c r="J66">
        <v>0</v>
      </c>
      <c r="K66" t="s">
        <v>1</v>
      </c>
      <c r="L66">
        <v>4.4667000000000003</v>
      </c>
      <c r="M66">
        <v>3727.0758999999998</v>
      </c>
      <c r="N66">
        <v>268.53250000000003</v>
      </c>
      <c r="O66">
        <v>272.41309999999999</v>
      </c>
      <c r="P66">
        <v>1.4451000000000001</v>
      </c>
      <c r="Q66">
        <v>0</v>
      </c>
      <c r="R66">
        <v>64</v>
      </c>
      <c r="S66">
        <v>1431</v>
      </c>
      <c r="T66" t="s">
        <v>23</v>
      </c>
      <c r="U66" t="s">
        <v>330</v>
      </c>
      <c r="V66" s="2">
        <v>46109.765972222223</v>
      </c>
    </row>
    <row r="67" spans="1:22">
      <c r="A67" t="s">
        <v>266</v>
      </c>
      <c r="B67" t="s">
        <v>59</v>
      </c>
      <c r="C67">
        <v>0</v>
      </c>
      <c r="D67">
        <v>0</v>
      </c>
      <c r="E67">
        <v>0</v>
      </c>
      <c r="F67">
        <v>25</v>
      </c>
      <c r="G67">
        <v>27</v>
      </c>
      <c r="H67">
        <v>3</v>
      </c>
      <c r="I67">
        <v>200</v>
      </c>
      <c r="J67">
        <v>0</v>
      </c>
      <c r="K67" t="s">
        <v>1</v>
      </c>
      <c r="L67">
        <v>1202.4695999999999</v>
      </c>
      <c r="M67">
        <v>3999.3000999999999</v>
      </c>
      <c r="N67">
        <v>268.9547</v>
      </c>
      <c r="O67">
        <v>295.17599999999999</v>
      </c>
      <c r="P67">
        <v>9.7492999999999999</v>
      </c>
      <c r="Q67">
        <v>0</v>
      </c>
      <c r="R67">
        <v>166</v>
      </c>
      <c r="S67">
        <v>2805</v>
      </c>
      <c r="T67" t="s">
        <v>331</v>
      </c>
      <c r="U67" t="s">
        <v>332</v>
      </c>
      <c r="V67" s="2">
        <v>46109.826388888891</v>
      </c>
    </row>
    <row r="68" spans="1:22">
      <c r="A68" t="s">
        <v>269</v>
      </c>
      <c r="B68" t="s">
        <v>59</v>
      </c>
      <c r="C68">
        <v>0</v>
      </c>
      <c r="D68">
        <v>0</v>
      </c>
      <c r="E68">
        <v>1</v>
      </c>
      <c r="F68">
        <v>25</v>
      </c>
      <c r="G68">
        <v>27</v>
      </c>
      <c r="H68">
        <v>3</v>
      </c>
      <c r="I68">
        <v>200</v>
      </c>
      <c r="J68">
        <v>0</v>
      </c>
      <c r="K68" t="s">
        <v>1</v>
      </c>
      <c r="L68">
        <v>1202.4695999999999</v>
      </c>
      <c r="M68">
        <v>3663.3761</v>
      </c>
      <c r="N68">
        <v>268.9547</v>
      </c>
      <c r="O68">
        <v>316.62700000000001</v>
      </c>
      <c r="P68">
        <v>17.725000000000001</v>
      </c>
      <c r="Q68">
        <v>0</v>
      </c>
      <c r="R68">
        <v>918</v>
      </c>
      <c r="S68">
        <v>2691</v>
      </c>
      <c r="T68" t="s">
        <v>331</v>
      </c>
      <c r="U68" t="s">
        <v>333</v>
      </c>
      <c r="V68" s="2">
        <v>46109.868750000001</v>
      </c>
    </row>
    <row r="69" spans="1:22">
      <c r="A69" t="s">
        <v>271</v>
      </c>
      <c r="B69" t="s">
        <v>59</v>
      </c>
      <c r="C69">
        <v>0</v>
      </c>
      <c r="D69">
        <v>0</v>
      </c>
      <c r="E69">
        <v>2</v>
      </c>
      <c r="F69">
        <v>25</v>
      </c>
      <c r="G69">
        <v>27</v>
      </c>
      <c r="H69">
        <v>3</v>
      </c>
      <c r="I69">
        <v>200</v>
      </c>
      <c r="J69">
        <v>0</v>
      </c>
      <c r="K69" t="s">
        <v>1</v>
      </c>
      <c r="L69">
        <v>1202.4695999999999</v>
      </c>
      <c r="M69">
        <v>3703.0246000000002</v>
      </c>
      <c r="N69">
        <v>268.9547</v>
      </c>
      <c r="O69">
        <v>282.2679</v>
      </c>
      <c r="P69">
        <v>4.95</v>
      </c>
      <c r="Q69">
        <v>0</v>
      </c>
      <c r="R69">
        <v>119</v>
      </c>
      <c r="S69">
        <v>1872</v>
      </c>
      <c r="T69" t="s">
        <v>331</v>
      </c>
      <c r="U69" t="s">
        <v>334</v>
      </c>
      <c r="V69" s="2">
        <v>46109.911111111112</v>
      </c>
    </row>
    <row r="70" spans="1:22">
      <c r="A70" t="s">
        <v>273</v>
      </c>
      <c r="B70" t="s">
        <v>59</v>
      </c>
      <c r="C70">
        <v>0</v>
      </c>
      <c r="D70">
        <v>0</v>
      </c>
      <c r="E70">
        <v>3</v>
      </c>
      <c r="F70">
        <v>25</v>
      </c>
      <c r="G70">
        <v>27</v>
      </c>
      <c r="H70">
        <v>3</v>
      </c>
      <c r="I70">
        <v>200</v>
      </c>
      <c r="J70">
        <v>0</v>
      </c>
      <c r="K70" t="s">
        <v>1</v>
      </c>
      <c r="L70">
        <v>1202.4695999999999</v>
      </c>
      <c r="M70">
        <v>3633.8024999999998</v>
      </c>
      <c r="N70">
        <v>268.9547</v>
      </c>
      <c r="O70">
        <v>-1</v>
      </c>
      <c r="R70">
        <v>0</v>
      </c>
      <c r="S70">
        <v>0</v>
      </c>
      <c r="T70" t="s">
        <v>331</v>
      </c>
      <c r="U70" t="s">
        <v>28</v>
      </c>
      <c r="V70" s="2">
        <v>46109.953472222223</v>
      </c>
    </row>
    <row r="71" spans="1:22">
      <c r="A71" t="s">
        <v>275</v>
      </c>
      <c r="B71" t="s">
        <v>59</v>
      </c>
      <c r="C71">
        <v>0</v>
      </c>
      <c r="D71">
        <v>0</v>
      </c>
      <c r="E71">
        <v>22</v>
      </c>
      <c r="F71">
        <v>25</v>
      </c>
      <c r="G71">
        <v>27</v>
      </c>
      <c r="H71">
        <v>3</v>
      </c>
      <c r="I71">
        <v>200</v>
      </c>
      <c r="J71">
        <v>0</v>
      </c>
      <c r="K71" t="s">
        <v>1</v>
      </c>
      <c r="L71">
        <v>1202.4695999999999</v>
      </c>
      <c r="M71">
        <v>3985.5626000000002</v>
      </c>
      <c r="N71">
        <v>268.9547</v>
      </c>
      <c r="O71">
        <v>-1</v>
      </c>
      <c r="R71">
        <v>0</v>
      </c>
      <c r="S71">
        <v>0</v>
      </c>
      <c r="T71" t="s">
        <v>331</v>
      </c>
      <c r="U71" t="s">
        <v>28</v>
      </c>
      <c r="V71" s="2">
        <v>46109.999305555553</v>
      </c>
    </row>
    <row r="72" spans="1:22">
      <c r="A72" t="s">
        <v>266</v>
      </c>
      <c r="B72" t="s">
        <v>70</v>
      </c>
      <c r="C72">
        <v>0</v>
      </c>
      <c r="D72">
        <v>0</v>
      </c>
      <c r="E72">
        <v>0</v>
      </c>
      <c r="F72">
        <v>25</v>
      </c>
      <c r="G72">
        <v>27</v>
      </c>
      <c r="H72">
        <v>3</v>
      </c>
      <c r="I72">
        <v>200</v>
      </c>
      <c r="J72">
        <v>0</v>
      </c>
      <c r="K72" t="s">
        <v>1</v>
      </c>
      <c r="L72">
        <v>1203.2062000000001</v>
      </c>
      <c r="M72">
        <v>3610.5866999999998</v>
      </c>
      <c r="N72">
        <v>268.53250000000003</v>
      </c>
      <c r="O72">
        <v>291.3544</v>
      </c>
      <c r="P72">
        <v>8.4986999999999995</v>
      </c>
      <c r="Q72">
        <v>0</v>
      </c>
      <c r="R72">
        <v>2880</v>
      </c>
      <c r="S72">
        <v>1878</v>
      </c>
      <c r="T72" t="s">
        <v>199</v>
      </c>
      <c r="U72" t="s">
        <v>335</v>
      </c>
      <c r="V72" s="2">
        <v>46110.055555555555</v>
      </c>
    </row>
    <row r="73" spans="1:22">
      <c r="A73" t="s">
        <v>269</v>
      </c>
      <c r="B73" t="s">
        <v>70</v>
      </c>
      <c r="C73">
        <v>0</v>
      </c>
      <c r="D73">
        <v>0</v>
      </c>
      <c r="E73">
        <v>1</v>
      </c>
      <c r="F73">
        <v>25</v>
      </c>
      <c r="G73">
        <v>27</v>
      </c>
      <c r="H73">
        <v>3</v>
      </c>
      <c r="I73">
        <v>200</v>
      </c>
      <c r="J73">
        <v>0</v>
      </c>
      <c r="K73" t="s">
        <v>1</v>
      </c>
      <c r="L73">
        <v>1203.2062000000001</v>
      </c>
      <c r="M73">
        <v>3786.1477</v>
      </c>
      <c r="N73">
        <v>268.53250000000003</v>
      </c>
      <c r="O73">
        <v>296.2319</v>
      </c>
      <c r="P73">
        <v>10.315099999999999</v>
      </c>
      <c r="Q73">
        <v>0</v>
      </c>
      <c r="R73">
        <v>43</v>
      </c>
      <c r="S73">
        <v>2376</v>
      </c>
      <c r="T73" t="s">
        <v>199</v>
      </c>
      <c r="U73" t="s">
        <v>336</v>
      </c>
      <c r="V73" s="2">
        <v>46110.099305555559</v>
      </c>
    </row>
    <row r="74" spans="1:22">
      <c r="A74" t="s">
        <v>271</v>
      </c>
      <c r="B74" t="s">
        <v>70</v>
      </c>
      <c r="C74">
        <v>0</v>
      </c>
      <c r="D74">
        <v>0</v>
      </c>
      <c r="E74">
        <v>2</v>
      </c>
      <c r="F74">
        <v>25</v>
      </c>
      <c r="G74">
        <v>27</v>
      </c>
      <c r="H74">
        <v>3</v>
      </c>
      <c r="I74">
        <v>200</v>
      </c>
      <c r="J74">
        <v>0</v>
      </c>
      <c r="K74" t="s">
        <v>1</v>
      </c>
      <c r="L74">
        <v>1203.2062000000001</v>
      </c>
      <c r="M74">
        <v>4212.7161999999998</v>
      </c>
      <c r="N74">
        <v>268.53250000000003</v>
      </c>
      <c r="O74">
        <v>278.22140000000002</v>
      </c>
      <c r="P74">
        <v>3.6080999999999999</v>
      </c>
      <c r="Q74">
        <v>0</v>
      </c>
      <c r="R74">
        <v>261</v>
      </c>
      <c r="S74">
        <v>2247</v>
      </c>
      <c r="T74" t="s">
        <v>199</v>
      </c>
      <c r="U74" t="s">
        <v>337</v>
      </c>
      <c r="V74" s="2">
        <v>46110.147916666669</v>
      </c>
    </row>
    <row r="75" spans="1:22">
      <c r="A75" t="s">
        <v>273</v>
      </c>
      <c r="B75" t="s">
        <v>70</v>
      </c>
      <c r="C75">
        <v>0</v>
      </c>
      <c r="D75">
        <v>0</v>
      </c>
      <c r="E75">
        <v>3</v>
      </c>
      <c r="F75">
        <v>25</v>
      </c>
      <c r="G75">
        <v>27</v>
      </c>
      <c r="H75">
        <v>3</v>
      </c>
      <c r="I75">
        <v>200</v>
      </c>
      <c r="J75">
        <v>0</v>
      </c>
      <c r="K75" t="s">
        <v>1</v>
      </c>
      <c r="L75">
        <v>1203.2062000000001</v>
      </c>
      <c r="M75">
        <v>3613.5972999999999</v>
      </c>
      <c r="N75">
        <v>268.53250000000003</v>
      </c>
      <c r="O75">
        <v>291.06240000000003</v>
      </c>
      <c r="P75">
        <v>8.39</v>
      </c>
      <c r="Q75">
        <v>0</v>
      </c>
      <c r="R75">
        <v>1266</v>
      </c>
      <c r="S75">
        <v>8190</v>
      </c>
      <c r="T75" t="s">
        <v>199</v>
      </c>
      <c r="U75" t="s">
        <v>338</v>
      </c>
      <c r="V75" s="2">
        <v>46110.189583333333</v>
      </c>
    </row>
    <row r="76" spans="1:22">
      <c r="A76" t="s">
        <v>275</v>
      </c>
      <c r="B76" t="s">
        <v>70</v>
      </c>
      <c r="C76">
        <v>0</v>
      </c>
      <c r="D76">
        <v>0</v>
      </c>
      <c r="E76">
        <v>22</v>
      </c>
      <c r="F76">
        <v>25</v>
      </c>
      <c r="G76">
        <v>27</v>
      </c>
      <c r="H76">
        <v>3</v>
      </c>
      <c r="I76">
        <v>200</v>
      </c>
      <c r="J76">
        <v>0</v>
      </c>
      <c r="K76" t="s">
        <v>1</v>
      </c>
      <c r="L76" s="45">
        <v>1203</v>
      </c>
      <c r="M76" s="45">
        <v>4555</v>
      </c>
      <c r="N76">
        <v>268.53250000000003</v>
      </c>
      <c r="O76">
        <v>-1</v>
      </c>
      <c r="R76">
        <v>0</v>
      </c>
      <c r="S76">
        <v>0</v>
      </c>
      <c r="T76" t="s">
        <v>199</v>
      </c>
      <c r="U76" t="s">
        <v>28</v>
      </c>
      <c r="V76" s="2">
        <v>46110.242361111108</v>
      </c>
    </row>
    <row r="77" spans="1:22">
      <c r="A77" t="s">
        <v>0</v>
      </c>
      <c r="B77" t="s">
        <v>215</v>
      </c>
      <c r="C77">
        <v>0</v>
      </c>
      <c r="D77">
        <v>0</v>
      </c>
      <c r="E77">
        <v>10</v>
      </c>
      <c r="F77">
        <v>25</v>
      </c>
      <c r="G77">
        <v>27</v>
      </c>
      <c r="H77">
        <v>3</v>
      </c>
      <c r="I77">
        <v>200</v>
      </c>
      <c r="J77">
        <v>0</v>
      </c>
      <c r="K77" t="s">
        <v>1</v>
      </c>
      <c r="L77">
        <v>137.84270000000001</v>
      </c>
      <c r="M77">
        <v>108.41459999999999</v>
      </c>
      <c r="N77">
        <v>191.81360000000001</v>
      </c>
      <c r="O77">
        <v>191.81360000000001</v>
      </c>
      <c r="P77">
        <v>0</v>
      </c>
      <c r="Q77">
        <v>1</v>
      </c>
      <c r="R77">
        <v>1</v>
      </c>
      <c r="S77">
        <v>975</v>
      </c>
      <c r="T77" t="s">
        <v>135</v>
      </c>
      <c r="U77" t="s">
        <v>136</v>
      </c>
      <c r="V77" s="2">
        <v>46108.692361111112</v>
      </c>
    </row>
    <row r="78" spans="1:22">
      <c r="A78" t="s">
        <v>0</v>
      </c>
      <c r="B78" t="s">
        <v>216</v>
      </c>
      <c r="C78">
        <v>0</v>
      </c>
      <c r="D78">
        <v>0</v>
      </c>
      <c r="E78">
        <v>10</v>
      </c>
      <c r="F78">
        <v>25</v>
      </c>
      <c r="G78">
        <v>27</v>
      </c>
      <c r="H78">
        <v>3</v>
      </c>
      <c r="I78">
        <v>200</v>
      </c>
      <c r="J78">
        <v>0</v>
      </c>
      <c r="K78" t="s">
        <v>1</v>
      </c>
      <c r="L78">
        <v>23.4754</v>
      </c>
      <c r="M78">
        <v>257.85230000000001</v>
      </c>
      <c r="N78">
        <v>190.73759999999999</v>
      </c>
      <c r="O78">
        <v>190.73759999999999</v>
      </c>
      <c r="P78">
        <v>0</v>
      </c>
      <c r="Q78">
        <v>1</v>
      </c>
      <c r="R78">
        <v>1</v>
      </c>
      <c r="S78">
        <v>1506</v>
      </c>
      <c r="T78" t="s">
        <v>138</v>
      </c>
      <c r="U78" t="s">
        <v>139</v>
      </c>
      <c r="V78" s="2">
        <v>46108.695833333331</v>
      </c>
    </row>
    <row r="79" spans="1:22">
      <c r="A79" t="s">
        <v>0</v>
      </c>
      <c r="B79" t="s">
        <v>217</v>
      </c>
      <c r="C79">
        <v>0</v>
      </c>
      <c r="D79">
        <v>0</v>
      </c>
      <c r="E79">
        <v>10</v>
      </c>
      <c r="F79">
        <v>25</v>
      </c>
      <c r="G79">
        <v>27</v>
      </c>
      <c r="H79">
        <v>3</v>
      </c>
      <c r="I79">
        <v>200</v>
      </c>
      <c r="J79">
        <v>0</v>
      </c>
      <c r="K79" t="s">
        <v>1</v>
      </c>
      <c r="L79">
        <v>1202.204</v>
      </c>
      <c r="M79">
        <v>639.08339999999998</v>
      </c>
      <c r="N79">
        <v>190.73759999999999</v>
      </c>
      <c r="O79">
        <v>190.73759999999999</v>
      </c>
      <c r="P79">
        <v>0</v>
      </c>
      <c r="Q79">
        <v>1</v>
      </c>
      <c r="R79">
        <v>1</v>
      </c>
      <c r="S79">
        <v>1506</v>
      </c>
      <c r="T79" t="s">
        <v>141</v>
      </c>
      <c r="U79" t="s">
        <v>264</v>
      </c>
      <c r="V79" s="2">
        <v>46108.717361111114</v>
      </c>
    </row>
    <row r="80" spans="1:22">
      <c r="A80" t="s">
        <v>0</v>
      </c>
      <c r="B80" t="s">
        <v>218</v>
      </c>
      <c r="C80">
        <v>0</v>
      </c>
      <c r="D80">
        <v>0</v>
      </c>
      <c r="E80">
        <v>10</v>
      </c>
      <c r="F80">
        <v>25</v>
      </c>
      <c r="G80">
        <v>27</v>
      </c>
      <c r="H80">
        <v>3</v>
      </c>
      <c r="I80">
        <v>200</v>
      </c>
      <c r="J80">
        <v>0</v>
      </c>
      <c r="K80" t="s">
        <v>1</v>
      </c>
      <c r="L80">
        <v>1202.261</v>
      </c>
      <c r="M80">
        <v>737.45619999999997</v>
      </c>
      <c r="N80">
        <v>187.4495</v>
      </c>
      <c r="O80">
        <v>187.4495</v>
      </c>
      <c r="P80">
        <v>0</v>
      </c>
      <c r="Q80">
        <v>1</v>
      </c>
      <c r="R80">
        <v>1</v>
      </c>
      <c r="S80">
        <v>1506</v>
      </c>
      <c r="T80" t="s">
        <v>143</v>
      </c>
      <c r="U80" t="s">
        <v>143</v>
      </c>
      <c r="V80" s="2">
        <v>46108.739583333336</v>
      </c>
    </row>
    <row r="81" spans="1:22">
      <c r="A81" t="s">
        <v>0</v>
      </c>
      <c r="B81" t="s">
        <v>220</v>
      </c>
      <c r="C81">
        <v>0</v>
      </c>
      <c r="D81">
        <v>0</v>
      </c>
      <c r="E81">
        <v>10</v>
      </c>
      <c r="F81">
        <v>25</v>
      </c>
      <c r="G81">
        <v>27</v>
      </c>
      <c r="H81">
        <v>3</v>
      </c>
      <c r="I81">
        <v>200</v>
      </c>
      <c r="J81">
        <v>0</v>
      </c>
      <c r="K81" t="s">
        <v>1</v>
      </c>
      <c r="L81">
        <v>1.2136</v>
      </c>
      <c r="M81">
        <v>273.01530000000002</v>
      </c>
      <c r="N81">
        <v>191.81360000000001</v>
      </c>
      <c r="O81">
        <v>191.81360000000001</v>
      </c>
      <c r="P81">
        <v>0</v>
      </c>
      <c r="Q81">
        <v>1</v>
      </c>
      <c r="R81">
        <v>1</v>
      </c>
      <c r="S81">
        <v>1422</v>
      </c>
      <c r="T81" t="s">
        <v>146</v>
      </c>
      <c r="U81" t="s">
        <v>135</v>
      </c>
      <c r="V81" s="2">
        <v>46108.743055555555</v>
      </c>
    </row>
    <row r="82" spans="1:22">
      <c r="A82" t="s">
        <v>0</v>
      </c>
      <c r="B82" t="s">
        <v>221</v>
      </c>
      <c r="C82">
        <v>0</v>
      </c>
      <c r="D82">
        <v>0</v>
      </c>
      <c r="E82">
        <v>10</v>
      </c>
      <c r="F82">
        <v>25</v>
      </c>
      <c r="G82">
        <v>27</v>
      </c>
      <c r="H82">
        <v>3</v>
      </c>
      <c r="I82">
        <v>200</v>
      </c>
      <c r="J82">
        <v>0</v>
      </c>
      <c r="K82" t="s">
        <v>1</v>
      </c>
      <c r="L82">
        <v>0.69059999999999999</v>
      </c>
      <c r="M82">
        <v>186.08019999999999</v>
      </c>
      <c r="N82">
        <v>191.81360000000001</v>
      </c>
      <c r="O82">
        <v>191.81360000000001</v>
      </c>
      <c r="P82">
        <v>0</v>
      </c>
      <c r="Q82">
        <v>1</v>
      </c>
      <c r="R82">
        <v>1</v>
      </c>
      <c r="S82">
        <v>1077</v>
      </c>
      <c r="T82" t="s">
        <v>149</v>
      </c>
      <c r="U82" t="s">
        <v>147</v>
      </c>
      <c r="V82" s="2">
        <v>46108.745138888888</v>
      </c>
    </row>
    <row r="83" spans="1:22">
      <c r="A83" t="s">
        <v>0</v>
      </c>
      <c r="B83" t="s">
        <v>222</v>
      </c>
      <c r="C83">
        <v>0</v>
      </c>
      <c r="D83">
        <v>0</v>
      </c>
      <c r="E83">
        <v>10</v>
      </c>
      <c r="F83">
        <v>25</v>
      </c>
      <c r="G83">
        <v>27</v>
      </c>
      <c r="H83">
        <v>3</v>
      </c>
      <c r="I83">
        <v>200</v>
      </c>
      <c r="J83">
        <v>0</v>
      </c>
      <c r="K83" t="s">
        <v>1</v>
      </c>
      <c r="L83">
        <v>1.2504999999999999</v>
      </c>
      <c r="M83">
        <v>240.09229999999999</v>
      </c>
      <c r="N83">
        <v>191.81360000000001</v>
      </c>
      <c r="O83">
        <v>191.81360000000001</v>
      </c>
      <c r="P83">
        <v>0</v>
      </c>
      <c r="Q83">
        <v>1</v>
      </c>
      <c r="R83">
        <v>1</v>
      </c>
      <c r="S83">
        <v>1506</v>
      </c>
      <c r="T83" t="s">
        <v>147</v>
      </c>
      <c r="U83" t="s">
        <v>135</v>
      </c>
      <c r="V83" s="2">
        <v>46108.747916666667</v>
      </c>
    </row>
    <row r="84" spans="1:22">
      <c r="A84" t="s">
        <v>0</v>
      </c>
      <c r="B84" t="s">
        <v>223</v>
      </c>
      <c r="C84">
        <v>0</v>
      </c>
      <c r="D84">
        <v>0</v>
      </c>
      <c r="E84">
        <v>10</v>
      </c>
      <c r="F84">
        <v>25</v>
      </c>
      <c r="G84">
        <v>27</v>
      </c>
      <c r="H84">
        <v>3</v>
      </c>
      <c r="I84">
        <v>200</v>
      </c>
      <c r="J84">
        <v>0</v>
      </c>
      <c r="K84" t="s">
        <v>1</v>
      </c>
      <c r="L84">
        <v>23.616900000000001</v>
      </c>
      <c r="M84">
        <v>375.6112</v>
      </c>
      <c r="N84">
        <v>191.81360000000001</v>
      </c>
      <c r="O84">
        <v>191.81360000000001</v>
      </c>
      <c r="P84">
        <v>0</v>
      </c>
      <c r="Q84">
        <v>1</v>
      </c>
      <c r="R84">
        <v>1</v>
      </c>
      <c r="S84">
        <v>1506</v>
      </c>
      <c r="T84" t="s">
        <v>152</v>
      </c>
      <c r="U84" t="s">
        <v>146</v>
      </c>
      <c r="V84" s="2">
        <v>46108.75277777778</v>
      </c>
    </row>
    <row r="85" spans="1:22">
      <c r="A85" t="s">
        <v>0</v>
      </c>
      <c r="B85" t="s">
        <v>68</v>
      </c>
      <c r="C85">
        <v>0</v>
      </c>
      <c r="D85">
        <v>0</v>
      </c>
      <c r="E85">
        <v>10</v>
      </c>
      <c r="F85">
        <v>25</v>
      </c>
      <c r="G85">
        <v>27</v>
      </c>
      <c r="H85">
        <v>3</v>
      </c>
      <c r="I85">
        <v>200</v>
      </c>
      <c r="J85">
        <v>0</v>
      </c>
      <c r="K85" t="s">
        <v>1</v>
      </c>
      <c r="L85">
        <v>1201.4670000000001</v>
      </c>
      <c r="M85">
        <v>152.20660000000001</v>
      </c>
      <c r="N85">
        <v>191.81360000000001</v>
      </c>
      <c r="O85">
        <v>198.30009999999999</v>
      </c>
      <c r="P85">
        <v>3.3816000000000002</v>
      </c>
      <c r="Q85">
        <v>0</v>
      </c>
      <c r="R85">
        <v>1</v>
      </c>
      <c r="S85">
        <v>1506</v>
      </c>
      <c r="T85" t="s">
        <v>136</v>
      </c>
      <c r="U85" t="s">
        <v>339</v>
      </c>
      <c r="V85" s="2">
        <v>46108.768055555556</v>
      </c>
    </row>
    <row r="86" spans="1:22">
      <c r="A86" t="s">
        <v>0</v>
      </c>
      <c r="B86" t="s">
        <v>60</v>
      </c>
      <c r="C86">
        <v>0</v>
      </c>
      <c r="D86">
        <v>0</v>
      </c>
      <c r="E86">
        <v>10</v>
      </c>
      <c r="F86">
        <v>25</v>
      </c>
      <c r="G86">
        <v>27</v>
      </c>
      <c r="H86">
        <v>8</v>
      </c>
      <c r="I86">
        <v>200</v>
      </c>
      <c r="J86">
        <v>0</v>
      </c>
      <c r="K86" t="s">
        <v>1</v>
      </c>
      <c r="L86">
        <v>0.73960000000000004</v>
      </c>
      <c r="M86">
        <v>25.3171</v>
      </c>
      <c r="N86">
        <v>618.32989999999995</v>
      </c>
      <c r="O86">
        <v>618.32989999999995</v>
      </c>
      <c r="P86">
        <v>0</v>
      </c>
      <c r="Q86">
        <v>1</v>
      </c>
      <c r="R86">
        <v>1</v>
      </c>
      <c r="S86">
        <v>1176</v>
      </c>
      <c r="T86" t="s">
        <v>2</v>
      </c>
      <c r="U86" t="s">
        <v>157</v>
      </c>
      <c r="V86" s="2">
        <v>46107.819444444445</v>
      </c>
    </row>
    <row r="87" spans="1:22">
      <c r="A87" t="s">
        <v>0</v>
      </c>
      <c r="B87" t="s">
        <v>66</v>
      </c>
      <c r="C87">
        <v>0</v>
      </c>
      <c r="D87">
        <v>0</v>
      </c>
      <c r="E87">
        <v>10</v>
      </c>
      <c r="F87">
        <v>25</v>
      </c>
      <c r="G87">
        <v>27</v>
      </c>
      <c r="H87">
        <v>7</v>
      </c>
      <c r="I87">
        <v>200</v>
      </c>
      <c r="J87">
        <v>0</v>
      </c>
      <c r="K87" t="s">
        <v>1</v>
      </c>
      <c r="L87">
        <v>1200.9863</v>
      </c>
      <c r="M87">
        <v>1620.0409</v>
      </c>
      <c r="N87">
        <v>548.1078</v>
      </c>
      <c r="O87">
        <v>548.1078</v>
      </c>
      <c r="P87">
        <v>0</v>
      </c>
      <c r="Q87">
        <v>1</v>
      </c>
      <c r="R87">
        <v>2585</v>
      </c>
      <c r="S87">
        <v>2170</v>
      </c>
      <c r="T87" t="s">
        <v>4</v>
      </c>
      <c r="U87" t="s">
        <v>159</v>
      </c>
      <c r="V87" s="2">
        <v>46107.852083333331</v>
      </c>
    </row>
    <row r="88" spans="1:22">
      <c r="A88" t="s">
        <v>0</v>
      </c>
      <c r="B88" t="s">
        <v>72</v>
      </c>
      <c r="C88">
        <v>0</v>
      </c>
      <c r="D88">
        <v>0</v>
      </c>
      <c r="E88">
        <v>10</v>
      </c>
      <c r="F88">
        <v>25</v>
      </c>
      <c r="G88">
        <v>27</v>
      </c>
      <c r="H88">
        <v>5</v>
      </c>
      <c r="I88">
        <v>200</v>
      </c>
      <c r="J88">
        <v>0</v>
      </c>
      <c r="K88" t="s">
        <v>1</v>
      </c>
      <c r="L88">
        <v>1201.1936000000001</v>
      </c>
      <c r="M88">
        <v>185.24809999999999</v>
      </c>
      <c r="N88">
        <v>468.24790000000002</v>
      </c>
      <c r="O88">
        <v>455.69819999999999</v>
      </c>
      <c r="P88">
        <v>-2.6800999999999999</v>
      </c>
      <c r="Q88">
        <v>0</v>
      </c>
      <c r="R88">
        <v>1</v>
      </c>
      <c r="S88">
        <v>1525</v>
      </c>
      <c r="T88" t="s">
        <v>162</v>
      </c>
      <c r="U88" t="s">
        <v>163</v>
      </c>
      <c r="V88" s="2">
        <v>46107.868055555555</v>
      </c>
    </row>
    <row r="89" spans="1:22">
      <c r="A89" t="s">
        <v>0</v>
      </c>
      <c r="B89" t="s">
        <v>73</v>
      </c>
      <c r="C89">
        <v>0</v>
      </c>
      <c r="D89">
        <v>0</v>
      </c>
      <c r="E89">
        <v>10</v>
      </c>
      <c r="F89">
        <v>25</v>
      </c>
      <c r="G89">
        <v>27</v>
      </c>
      <c r="H89">
        <v>4</v>
      </c>
      <c r="I89">
        <v>200</v>
      </c>
      <c r="J89">
        <v>0</v>
      </c>
      <c r="K89" t="s">
        <v>1</v>
      </c>
      <c r="L89">
        <v>1201.6167</v>
      </c>
      <c r="M89">
        <v>162.71610000000001</v>
      </c>
      <c r="N89">
        <v>453.68689999999998</v>
      </c>
      <c r="O89">
        <v>417.96120000000002</v>
      </c>
      <c r="P89">
        <v>-7.8745000000000003</v>
      </c>
      <c r="Q89">
        <v>0</v>
      </c>
      <c r="R89">
        <v>3</v>
      </c>
      <c r="S89">
        <v>1732</v>
      </c>
      <c r="T89" t="s">
        <v>166</v>
      </c>
      <c r="U89" t="s">
        <v>167</v>
      </c>
      <c r="V89" s="2">
        <v>46107.884027777778</v>
      </c>
    </row>
    <row r="90" spans="1:22">
      <c r="A90" t="s">
        <v>0</v>
      </c>
      <c r="B90" t="s">
        <v>74</v>
      </c>
      <c r="C90">
        <v>0</v>
      </c>
      <c r="D90">
        <v>0</v>
      </c>
      <c r="E90">
        <v>10</v>
      </c>
      <c r="F90">
        <v>25</v>
      </c>
      <c r="G90">
        <v>27</v>
      </c>
      <c r="H90">
        <v>6</v>
      </c>
      <c r="I90">
        <v>200</v>
      </c>
      <c r="J90">
        <v>0</v>
      </c>
      <c r="K90" t="s">
        <v>1</v>
      </c>
      <c r="L90">
        <v>17.6753</v>
      </c>
      <c r="M90">
        <v>45.564900000000002</v>
      </c>
      <c r="N90">
        <v>531.53859999999997</v>
      </c>
      <c r="O90">
        <v>531.53859999999997</v>
      </c>
      <c r="P90">
        <v>0</v>
      </c>
      <c r="Q90">
        <v>1</v>
      </c>
      <c r="R90">
        <v>1</v>
      </c>
      <c r="S90">
        <v>1242</v>
      </c>
      <c r="T90" t="s">
        <v>10</v>
      </c>
      <c r="U90" t="s">
        <v>169</v>
      </c>
      <c r="V90" s="2">
        <v>46107.884722222225</v>
      </c>
    </row>
    <row r="91" spans="1:22">
      <c r="A91" t="s">
        <v>0</v>
      </c>
      <c r="B91" t="s">
        <v>75</v>
      </c>
      <c r="C91">
        <v>0</v>
      </c>
      <c r="D91">
        <v>0</v>
      </c>
      <c r="E91">
        <v>10</v>
      </c>
      <c r="F91">
        <v>25</v>
      </c>
      <c r="G91">
        <v>27</v>
      </c>
      <c r="H91">
        <v>5</v>
      </c>
      <c r="I91">
        <v>200</v>
      </c>
      <c r="J91">
        <v>0</v>
      </c>
      <c r="K91" t="s">
        <v>1</v>
      </c>
      <c r="L91">
        <v>1096.8556000000001</v>
      </c>
      <c r="M91">
        <v>896.23320000000001</v>
      </c>
      <c r="N91">
        <v>466.48020000000002</v>
      </c>
      <c r="O91">
        <v>466.48020000000002</v>
      </c>
      <c r="P91">
        <v>0</v>
      </c>
      <c r="Q91">
        <v>1</v>
      </c>
      <c r="R91">
        <v>135</v>
      </c>
      <c r="S91">
        <v>2515</v>
      </c>
      <c r="T91" t="s">
        <v>12</v>
      </c>
      <c r="U91" t="s">
        <v>171</v>
      </c>
      <c r="V91" s="2">
        <v>46107.907638888886</v>
      </c>
    </row>
    <row r="92" spans="1:22">
      <c r="A92" t="s">
        <v>0</v>
      </c>
      <c r="B92" t="s">
        <v>76</v>
      </c>
      <c r="C92">
        <v>0</v>
      </c>
      <c r="D92">
        <v>0</v>
      </c>
      <c r="E92">
        <v>10</v>
      </c>
      <c r="F92">
        <v>25</v>
      </c>
      <c r="G92">
        <v>27</v>
      </c>
      <c r="H92">
        <v>4</v>
      </c>
      <c r="I92">
        <v>200</v>
      </c>
      <c r="J92">
        <v>0</v>
      </c>
      <c r="K92" t="s">
        <v>1</v>
      </c>
      <c r="L92">
        <v>1201.4686999999999</v>
      </c>
      <c r="M92">
        <v>191.86699999999999</v>
      </c>
      <c r="N92">
        <v>429.2004</v>
      </c>
      <c r="O92">
        <v>425.26850000000002</v>
      </c>
      <c r="P92">
        <v>-0.91610000000000003</v>
      </c>
      <c r="Q92">
        <v>0</v>
      </c>
      <c r="R92">
        <v>1</v>
      </c>
      <c r="S92">
        <v>1816</v>
      </c>
      <c r="T92" t="s">
        <v>174</v>
      </c>
      <c r="U92" t="s">
        <v>175</v>
      </c>
      <c r="V92" s="2">
        <v>46107.923611111109</v>
      </c>
    </row>
    <row r="93" spans="1:22">
      <c r="A93" t="s">
        <v>0</v>
      </c>
      <c r="B93" t="s">
        <v>77</v>
      </c>
      <c r="C93">
        <v>0</v>
      </c>
      <c r="D93">
        <v>0</v>
      </c>
      <c r="E93">
        <v>10</v>
      </c>
      <c r="F93">
        <v>25</v>
      </c>
      <c r="G93">
        <v>27</v>
      </c>
      <c r="H93">
        <v>4</v>
      </c>
      <c r="I93">
        <v>200</v>
      </c>
      <c r="J93">
        <v>0</v>
      </c>
      <c r="K93" t="s">
        <v>1</v>
      </c>
      <c r="L93">
        <v>1201.4431999999999</v>
      </c>
      <c r="M93">
        <v>545.2921</v>
      </c>
      <c r="N93">
        <v>398.29469999999998</v>
      </c>
      <c r="O93">
        <v>398.29469999999998</v>
      </c>
      <c r="P93">
        <v>0</v>
      </c>
      <c r="Q93">
        <v>1</v>
      </c>
      <c r="R93">
        <v>25</v>
      </c>
      <c r="S93">
        <v>1920</v>
      </c>
      <c r="T93" t="s">
        <v>177</v>
      </c>
      <c r="U93" t="s">
        <v>178</v>
      </c>
      <c r="V93" s="2">
        <v>46107.944444444445</v>
      </c>
    </row>
    <row r="94" spans="1:22">
      <c r="A94" t="s">
        <v>0</v>
      </c>
      <c r="B94" t="s">
        <v>78</v>
      </c>
      <c r="C94">
        <v>0</v>
      </c>
      <c r="D94">
        <v>0</v>
      </c>
      <c r="E94">
        <v>10</v>
      </c>
      <c r="F94">
        <v>25</v>
      </c>
      <c r="G94">
        <v>27</v>
      </c>
      <c r="H94">
        <v>5</v>
      </c>
      <c r="I94">
        <v>200</v>
      </c>
      <c r="J94">
        <v>0</v>
      </c>
      <c r="K94" t="s">
        <v>1</v>
      </c>
      <c r="L94">
        <v>69.622900000000001</v>
      </c>
      <c r="M94">
        <v>64.655000000000001</v>
      </c>
      <c r="N94">
        <v>442.62520000000001</v>
      </c>
      <c r="O94">
        <v>442.62520000000001</v>
      </c>
      <c r="P94">
        <v>0</v>
      </c>
      <c r="Q94">
        <v>1</v>
      </c>
      <c r="R94">
        <v>1</v>
      </c>
      <c r="S94">
        <v>1730</v>
      </c>
      <c r="T94" t="s">
        <v>17</v>
      </c>
      <c r="U94" t="s">
        <v>180</v>
      </c>
      <c r="V94" s="2">
        <v>46107.945833333331</v>
      </c>
    </row>
    <row r="95" spans="1:22">
      <c r="A95" t="s">
        <v>0</v>
      </c>
      <c r="B95" t="s">
        <v>79</v>
      </c>
      <c r="C95">
        <v>0</v>
      </c>
      <c r="D95">
        <v>0</v>
      </c>
      <c r="E95">
        <v>10</v>
      </c>
      <c r="F95">
        <v>25</v>
      </c>
      <c r="G95">
        <v>27</v>
      </c>
      <c r="H95">
        <v>4</v>
      </c>
      <c r="I95">
        <v>200</v>
      </c>
      <c r="J95">
        <v>0</v>
      </c>
      <c r="K95" t="s">
        <v>1</v>
      </c>
      <c r="L95">
        <v>1201.7543000000001</v>
      </c>
      <c r="M95">
        <v>1085.3520000000001</v>
      </c>
      <c r="N95">
        <v>-1</v>
      </c>
      <c r="O95">
        <v>445.87220000000002</v>
      </c>
      <c r="R95">
        <v>91</v>
      </c>
      <c r="S95">
        <v>2664</v>
      </c>
      <c r="T95" t="s">
        <v>8</v>
      </c>
      <c r="U95" t="s">
        <v>183</v>
      </c>
      <c r="V95" s="2">
        <v>46107.972222222219</v>
      </c>
    </row>
    <row r="96" spans="1:22">
      <c r="A96" t="s">
        <v>0</v>
      </c>
      <c r="B96" t="s">
        <v>80</v>
      </c>
      <c r="C96">
        <v>0</v>
      </c>
      <c r="D96">
        <v>0</v>
      </c>
      <c r="E96">
        <v>10</v>
      </c>
      <c r="F96">
        <v>25</v>
      </c>
      <c r="G96">
        <v>27</v>
      </c>
      <c r="H96">
        <v>4</v>
      </c>
      <c r="I96">
        <v>200</v>
      </c>
      <c r="J96">
        <v>0</v>
      </c>
      <c r="K96" t="s">
        <v>1</v>
      </c>
      <c r="L96">
        <v>1201.4562000000001</v>
      </c>
      <c r="M96">
        <v>313.93610000000001</v>
      </c>
      <c r="N96">
        <v>440.9024</v>
      </c>
      <c r="O96">
        <v>429.6968</v>
      </c>
      <c r="P96">
        <v>-2.5415000000000001</v>
      </c>
      <c r="Q96">
        <v>0</v>
      </c>
      <c r="R96">
        <v>29</v>
      </c>
      <c r="S96">
        <v>1988</v>
      </c>
      <c r="T96" t="s">
        <v>186</v>
      </c>
      <c r="U96" t="s">
        <v>187</v>
      </c>
      <c r="V96" s="2">
        <v>46107.989583333336</v>
      </c>
    </row>
    <row r="97" spans="1:50">
      <c r="A97" t="s">
        <v>0</v>
      </c>
      <c r="B97" t="s">
        <v>71</v>
      </c>
      <c r="C97">
        <v>0</v>
      </c>
      <c r="D97">
        <v>0</v>
      </c>
      <c r="E97">
        <v>10</v>
      </c>
      <c r="F97">
        <v>25</v>
      </c>
      <c r="G97">
        <v>27</v>
      </c>
      <c r="H97">
        <v>4</v>
      </c>
      <c r="I97">
        <v>200</v>
      </c>
      <c r="J97">
        <v>0</v>
      </c>
      <c r="K97" t="s">
        <v>1</v>
      </c>
      <c r="L97">
        <v>1201.4874</v>
      </c>
      <c r="M97">
        <v>3346.43</v>
      </c>
      <c r="N97">
        <v>394.10129999999998</v>
      </c>
      <c r="O97">
        <v>396.98379999999997</v>
      </c>
      <c r="P97">
        <v>0.73140000000000005</v>
      </c>
      <c r="Q97">
        <v>0</v>
      </c>
      <c r="R97">
        <v>559</v>
      </c>
      <c r="S97">
        <v>3936</v>
      </c>
      <c r="T97" t="s">
        <v>21</v>
      </c>
      <c r="U97" t="s">
        <v>190</v>
      </c>
      <c r="V97" s="2">
        <v>46108.042361111111</v>
      </c>
    </row>
    <row r="99" spans="1:50">
      <c r="AC99" t="s">
        <v>0</v>
      </c>
      <c r="AD99" t="s">
        <v>134</v>
      </c>
      <c r="AE99">
        <v>0</v>
      </c>
      <c r="AF99">
        <v>0</v>
      </c>
      <c r="AG99">
        <v>10</v>
      </c>
      <c r="AH99">
        <v>25</v>
      </c>
      <c r="AI99">
        <v>27</v>
      </c>
      <c r="AJ99">
        <v>3</v>
      </c>
      <c r="AK99">
        <v>200</v>
      </c>
      <c r="AL99">
        <v>0</v>
      </c>
      <c r="AM99" t="s">
        <v>1</v>
      </c>
      <c r="AN99">
        <v>0.2661</v>
      </c>
      <c r="AO99">
        <v>108</v>
      </c>
      <c r="AP99" s="45">
        <v>1918136</v>
      </c>
      <c r="AQ99" s="45">
        <v>1918136</v>
      </c>
      <c r="AR99" t="s">
        <v>340</v>
      </c>
      <c r="AS99">
        <v>1</v>
      </c>
      <c r="AT99">
        <v>1</v>
      </c>
      <c r="AU99">
        <v>975</v>
      </c>
      <c r="AV99" t="s">
        <v>135</v>
      </c>
      <c r="AW99" t="s">
        <v>136</v>
      </c>
      <c r="AX99" s="2">
        <v>46113.821527777778</v>
      </c>
    </row>
    <row r="100" spans="1:50">
      <c r="AC100" t="s">
        <v>0</v>
      </c>
      <c r="AD100" t="s">
        <v>137</v>
      </c>
      <c r="AE100">
        <v>0</v>
      </c>
      <c r="AF100">
        <v>0</v>
      </c>
      <c r="AG100">
        <v>10</v>
      </c>
      <c r="AH100">
        <v>25</v>
      </c>
      <c r="AI100">
        <v>27</v>
      </c>
      <c r="AJ100">
        <v>3</v>
      </c>
      <c r="AK100">
        <v>200</v>
      </c>
      <c r="AL100">
        <v>0</v>
      </c>
      <c r="AM100" t="s">
        <v>1</v>
      </c>
      <c r="AN100" s="45">
        <v>19595</v>
      </c>
      <c r="AO100">
        <v>828</v>
      </c>
      <c r="AP100" s="45">
        <v>1907376</v>
      </c>
      <c r="AQ100" s="45">
        <v>1907376</v>
      </c>
      <c r="AR100" t="s">
        <v>340</v>
      </c>
      <c r="AS100">
        <v>1</v>
      </c>
      <c r="AT100">
        <v>1</v>
      </c>
      <c r="AU100">
        <v>2391</v>
      </c>
      <c r="AV100" t="s">
        <v>138</v>
      </c>
      <c r="AW100" t="s">
        <v>139</v>
      </c>
      <c r="AX100" s="2">
        <v>46113.831250000003</v>
      </c>
    </row>
    <row r="101" spans="1:50">
      <c r="AC101" t="s">
        <v>0</v>
      </c>
      <c r="AD101" t="s">
        <v>140</v>
      </c>
      <c r="AE101">
        <v>0</v>
      </c>
      <c r="AF101">
        <v>0</v>
      </c>
      <c r="AG101">
        <v>10</v>
      </c>
      <c r="AH101">
        <v>25</v>
      </c>
      <c r="AI101">
        <v>27</v>
      </c>
      <c r="AJ101">
        <v>3</v>
      </c>
      <c r="AK101">
        <v>200</v>
      </c>
      <c r="AL101">
        <v>0</v>
      </c>
      <c r="AM101" t="s">
        <v>1</v>
      </c>
      <c r="AN101" s="45">
        <v>12014904</v>
      </c>
      <c r="AO101" s="45">
        <v>1009</v>
      </c>
      <c r="AP101" s="45">
        <v>1907376</v>
      </c>
      <c r="AQ101" s="45">
        <v>1907376</v>
      </c>
      <c r="AR101" t="s">
        <v>340</v>
      </c>
      <c r="AS101">
        <v>1</v>
      </c>
      <c r="AT101">
        <v>1</v>
      </c>
      <c r="AU101">
        <v>2328</v>
      </c>
      <c r="AV101" t="s">
        <v>141</v>
      </c>
      <c r="AW101" t="s">
        <v>138</v>
      </c>
      <c r="AX101" s="2">
        <v>46113.856944444444</v>
      </c>
    </row>
    <row r="102" spans="1:50">
      <c r="AC102" t="s">
        <v>0</v>
      </c>
      <c r="AD102" t="s">
        <v>142</v>
      </c>
      <c r="AE102">
        <v>0</v>
      </c>
      <c r="AF102">
        <v>0</v>
      </c>
      <c r="AG102">
        <v>10</v>
      </c>
      <c r="AH102">
        <v>25</v>
      </c>
      <c r="AI102">
        <v>27</v>
      </c>
      <c r="AJ102">
        <v>3</v>
      </c>
      <c r="AK102">
        <v>200</v>
      </c>
      <c r="AL102">
        <v>0</v>
      </c>
      <c r="AM102" t="s">
        <v>1</v>
      </c>
      <c r="AN102" s="45">
        <v>12019546</v>
      </c>
      <c r="AO102">
        <v>518</v>
      </c>
      <c r="AP102" s="45">
        <v>1874495</v>
      </c>
      <c r="AQ102" s="45">
        <v>1907412</v>
      </c>
      <c r="AR102" s="45">
        <f>(AQ102-AP102)/AQ102</f>
        <v>1.7257414758846016E-2</v>
      </c>
      <c r="AS102">
        <v>0</v>
      </c>
      <c r="AT102">
        <v>1</v>
      </c>
      <c r="AU102">
        <v>2121</v>
      </c>
      <c r="AV102" t="s">
        <v>143</v>
      </c>
      <c r="AW102" t="s">
        <v>144</v>
      </c>
      <c r="AX102" s="2">
        <v>46113.876388888886</v>
      </c>
    </row>
    <row r="103" spans="1:50">
      <c r="AC103" t="s">
        <v>0</v>
      </c>
      <c r="AD103" t="s">
        <v>145</v>
      </c>
      <c r="AE103">
        <v>0</v>
      </c>
      <c r="AF103">
        <v>0</v>
      </c>
      <c r="AG103">
        <v>10</v>
      </c>
      <c r="AH103">
        <v>25</v>
      </c>
      <c r="AI103">
        <v>27</v>
      </c>
      <c r="AJ103">
        <v>3</v>
      </c>
      <c r="AK103">
        <v>200</v>
      </c>
      <c r="AL103">
        <v>0</v>
      </c>
      <c r="AM103" t="s">
        <v>1</v>
      </c>
      <c r="AN103">
        <v>0.61839999999999995</v>
      </c>
      <c r="AO103">
        <v>684</v>
      </c>
      <c r="AP103" s="45">
        <v>1918136</v>
      </c>
      <c r="AQ103" s="45">
        <v>1918136</v>
      </c>
      <c r="AR103" t="s">
        <v>340</v>
      </c>
      <c r="AS103">
        <v>1</v>
      </c>
      <c r="AT103">
        <v>1</v>
      </c>
      <c r="AU103">
        <v>2424</v>
      </c>
      <c r="AV103" t="s">
        <v>146</v>
      </c>
      <c r="AW103" t="s">
        <v>147</v>
      </c>
      <c r="AX103" s="2">
        <v>46113.884722222225</v>
      </c>
    </row>
    <row r="104" spans="1:50">
      <c r="AC104" t="s">
        <v>0</v>
      </c>
      <c r="AD104" t="s">
        <v>148</v>
      </c>
      <c r="AE104">
        <v>0</v>
      </c>
      <c r="AF104">
        <v>0</v>
      </c>
      <c r="AG104">
        <v>10</v>
      </c>
      <c r="AH104">
        <v>25</v>
      </c>
      <c r="AI104">
        <v>27</v>
      </c>
      <c r="AJ104">
        <v>3</v>
      </c>
      <c r="AK104">
        <v>200</v>
      </c>
      <c r="AL104">
        <v>0</v>
      </c>
      <c r="AM104" t="s">
        <v>1</v>
      </c>
      <c r="AN104">
        <v>0.30719999999999997</v>
      </c>
      <c r="AO104" s="45">
        <v>4181565</v>
      </c>
      <c r="AP104" s="45">
        <v>1918136</v>
      </c>
      <c r="AQ104" s="45">
        <v>1918136</v>
      </c>
      <c r="AR104" t="s">
        <v>340</v>
      </c>
      <c r="AS104">
        <v>1</v>
      </c>
      <c r="AT104">
        <v>1</v>
      </c>
      <c r="AU104">
        <v>1686</v>
      </c>
      <c r="AV104" t="s">
        <v>149</v>
      </c>
      <c r="AW104" t="s">
        <v>135</v>
      </c>
      <c r="AX104" s="2">
        <v>46113.88958333333</v>
      </c>
    </row>
    <row r="105" spans="1:50">
      <c r="AC105" t="s">
        <v>0</v>
      </c>
      <c r="AD105" t="s">
        <v>150</v>
      </c>
      <c r="AE105">
        <v>0</v>
      </c>
      <c r="AF105">
        <v>0</v>
      </c>
      <c r="AG105">
        <v>10</v>
      </c>
      <c r="AH105">
        <v>25</v>
      </c>
      <c r="AI105">
        <v>27</v>
      </c>
      <c r="AJ105">
        <v>3</v>
      </c>
      <c r="AK105">
        <v>200</v>
      </c>
      <c r="AL105">
        <v>0</v>
      </c>
      <c r="AM105" t="s">
        <v>1</v>
      </c>
      <c r="AN105">
        <v>0.61609999999999998</v>
      </c>
      <c r="AO105" s="45">
        <v>3402205</v>
      </c>
      <c r="AP105" s="45">
        <v>1918136</v>
      </c>
      <c r="AQ105" s="45">
        <v>1918136</v>
      </c>
      <c r="AR105" t="s">
        <v>340</v>
      </c>
      <c r="AS105">
        <v>1</v>
      </c>
      <c r="AT105">
        <v>1</v>
      </c>
      <c r="AU105">
        <v>2040</v>
      </c>
      <c r="AV105" t="s">
        <v>147</v>
      </c>
      <c r="AW105" t="s">
        <v>135</v>
      </c>
      <c r="AX105" s="2">
        <v>46113.893750000003</v>
      </c>
    </row>
    <row r="106" spans="1:50">
      <c r="AC106" t="s">
        <v>0</v>
      </c>
      <c r="AD106" t="s">
        <v>151</v>
      </c>
      <c r="AE106">
        <v>0</v>
      </c>
      <c r="AF106">
        <v>0</v>
      </c>
      <c r="AG106">
        <v>10</v>
      </c>
      <c r="AH106">
        <v>25</v>
      </c>
      <c r="AI106">
        <v>27</v>
      </c>
      <c r="AJ106">
        <v>3</v>
      </c>
      <c r="AK106">
        <v>200</v>
      </c>
      <c r="AL106">
        <v>0</v>
      </c>
      <c r="AM106" t="s">
        <v>1</v>
      </c>
      <c r="AN106" s="45">
        <v>150551</v>
      </c>
      <c r="AO106" s="45">
        <v>683342</v>
      </c>
      <c r="AP106" s="45">
        <v>1918136</v>
      </c>
      <c r="AQ106" s="45">
        <v>1918136</v>
      </c>
      <c r="AR106" t="s">
        <v>341</v>
      </c>
      <c r="AS106">
        <v>1</v>
      </c>
      <c r="AT106">
        <v>1</v>
      </c>
      <c r="AU106">
        <v>2415</v>
      </c>
      <c r="AV106" t="s">
        <v>152</v>
      </c>
      <c r="AW106" t="s">
        <v>135</v>
      </c>
      <c r="AX106" s="2">
        <v>46113.901388888888</v>
      </c>
    </row>
    <row r="107" spans="1:50">
      <c r="AC107" t="s">
        <v>0</v>
      </c>
      <c r="AD107" t="s">
        <v>153</v>
      </c>
      <c r="AE107">
        <v>0</v>
      </c>
      <c r="AF107">
        <v>0</v>
      </c>
      <c r="AG107">
        <v>10</v>
      </c>
      <c r="AH107">
        <v>25</v>
      </c>
      <c r="AI107">
        <v>27</v>
      </c>
      <c r="AJ107">
        <v>3</v>
      </c>
      <c r="AK107">
        <v>200</v>
      </c>
      <c r="AL107">
        <v>0</v>
      </c>
      <c r="AM107" t="s">
        <v>1</v>
      </c>
      <c r="AN107" s="45">
        <v>12009615</v>
      </c>
      <c r="AO107" s="45">
        <v>9058647</v>
      </c>
      <c r="AP107" s="45">
        <v>1918136</v>
      </c>
      <c r="AQ107" s="45">
        <v>1918136</v>
      </c>
      <c r="AR107" t="s">
        <v>341</v>
      </c>
      <c r="AS107">
        <v>1</v>
      </c>
      <c r="AT107">
        <v>1</v>
      </c>
      <c r="AU107">
        <v>2028</v>
      </c>
      <c r="AV107" t="s">
        <v>136</v>
      </c>
      <c r="AW107" t="s">
        <v>146</v>
      </c>
      <c r="AX107" s="2">
        <v>46113.925694444442</v>
      </c>
    </row>
  </sheetData>
  <autoFilter ref="A1:V97" xr:uid="{0B755C53-E771-44C0-A193-8A3BFDA429D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GERAL</vt:lpstr>
      <vt:lpstr>artigo</vt:lpstr>
      <vt:lpstr>variacao_NOIMPROVE</vt:lpstr>
      <vt:lpstr>resultados_finais - Copia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Dieferson gg</dc:creator>
  <cp:lastModifiedBy>Dieferson gg</cp:lastModifiedBy>
  <dcterms:created xsi:type="dcterms:W3CDTF">2026-04-03T13:43:48Z</dcterms:created>
  <dcterms:modified xsi:type="dcterms:W3CDTF">2026-04-07T21:12:53Z</dcterms:modified>
</cp:coreProperties>
</file>