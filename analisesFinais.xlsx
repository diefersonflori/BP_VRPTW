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yanaSilva\Documents\BP_VRPTW\"/>
    </mc:Choice>
  </mc:AlternateContent>
  <xr:revisionPtr revIDLastSave="0" documentId="13_ncr:1_{0DF2D868-B4BD-4D03-A2F3-B71ECD0C6E28}" xr6:coauthVersionLast="47" xr6:coauthVersionMax="47" xr10:uidLastSave="{00000000-0000-0000-0000-000000000000}"/>
  <bookViews>
    <workbookView xWindow="28680" yWindow="-120" windowWidth="51840" windowHeight="21120" activeTab="3" xr2:uid="{E7DF56F7-393C-4179-80B5-2006709A41FF}"/>
  </bookViews>
  <sheets>
    <sheet name="PRICING25" sheetId="2" r:id="rId1"/>
    <sheet name="SM25" sheetId="3" r:id="rId2"/>
    <sheet name="Análise_25nósComSemEstabIntegGe" sheetId="5" r:id="rId3"/>
    <sheet name="FO_CONHECIDA" sheetId="4" r:id="rId4"/>
    <sheet name="Construtiva50" sheetId="6" r:id="rId5"/>
  </sheets>
  <definedNames>
    <definedName name="_xlnm._FilterDatabase" localSheetId="0" hidden="1">PRICING25!$A$1:$V$117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2" i="3"/>
  <c r="X10" i="3"/>
  <c r="W10" i="3"/>
  <c r="X9" i="3"/>
  <c r="W9" i="3"/>
  <c r="X8" i="3"/>
  <c r="W8" i="3"/>
  <c r="X7" i="3"/>
  <c r="W7" i="3"/>
  <c r="X6" i="3"/>
  <c r="W6" i="3"/>
  <c r="X5" i="3"/>
  <c r="W5" i="3"/>
  <c r="X4" i="3"/>
  <c r="W4" i="3"/>
  <c r="U6" i="3" l="1"/>
  <c r="U5" i="3"/>
  <c r="T6" i="3"/>
  <c r="V6" i="3"/>
  <c r="V9" i="3"/>
  <c r="V7" i="3"/>
  <c r="V10" i="3"/>
  <c r="V4" i="3"/>
  <c r="V8" i="3"/>
  <c r="V5" i="3"/>
  <c r="T4" i="3"/>
  <c r="S4" i="3"/>
  <c r="U4" i="3"/>
  <c r="S8" i="3"/>
  <c r="U8" i="3"/>
  <c r="U7" i="3"/>
  <c r="T8" i="3"/>
  <c r="S5" i="3"/>
  <c r="T5" i="3"/>
  <c r="S6" i="3"/>
  <c r="S7" i="3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AR102" i="2"/>
  <c r="P102" i="2"/>
  <c r="P101" i="2"/>
  <c r="P100" i="2"/>
  <c r="P99" i="2"/>
  <c r="E99" i="2"/>
  <c r="P98" i="2"/>
  <c r="E98" i="2"/>
  <c r="P97" i="2"/>
  <c r="N96" i="2"/>
  <c r="P96" i="2" s="1"/>
  <c r="P95" i="2"/>
  <c r="N95" i="2"/>
  <c r="N94" i="2"/>
  <c r="P94" i="2" s="1"/>
  <c r="N93" i="2"/>
  <c r="N41" i="2" s="1"/>
  <c r="P92" i="2"/>
  <c r="N92" i="2"/>
  <c r="N91" i="2"/>
  <c r="P91" i="2" s="1"/>
  <c r="N90" i="2"/>
  <c r="P90" i="2" s="1"/>
  <c r="N89" i="2"/>
  <c r="N21" i="2" s="1"/>
  <c r="P88" i="2"/>
  <c r="N88" i="2"/>
  <c r="N16" i="2" s="1"/>
  <c r="P87" i="2"/>
  <c r="P86" i="2"/>
  <c r="P85" i="2"/>
  <c r="P84" i="2"/>
  <c r="P83" i="2"/>
  <c r="P82" i="2"/>
  <c r="P81" i="2"/>
  <c r="P80" i="2"/>
  <c r="P79" i="2"/>
  <c r="P78" i="2"/>
  <c r="P77" i="2"/>
  <c r="O76" i="2"/>
  <c r="P76" i="2" s="1"/>
  <c r="P75" i="2"/>
  <c r="P74" i="2"/>
  <c r="P73" i="2"/>
  <c r="P72" i="2"/>
  <c r="O71" i="2"/>
  <c r="P71" i="2" s="1"/>
  <c r="O70" i="2"/>
  <c r="P70" i="2" s="1"/>
  <c r="P69" i="2"/>
  <c r="P68" i="2"/>
  <c r="P67" i="2"/>
  <c r="P66" i="2"/>
  <c r="P65" i="2"/>
  <c r="P64" i="2"/>
  <c r="P63" i="2"/>
  <c r="P62" i="2"/>
  <c r="O61" i="2"/>
  <c r="P61" i="2" s="1"/>
  <c r="P60" i="2"/>
  <c r="P59" i="2"/>
  <c r="P58" i="2"/>
  <c r="P57" i="2"/>
  <c r="N56" i="2"/>
  <c r="P56" i="2" s="1"/>
  <c r="N55" i="2"/>
  <c r="P55" i="2" s="1"/>
  <c r="N51" i="2"/>
  <c r="P51" i="2" s="1"/>
  <c r="N50" i="2"/>
  <c r="P50" i="2" s="1"/>
  <c r="N49" i="2"/>
  <c r="P49" i="2" s="1"/>
  <c r="N46" i="2"/>
  <c r="P46" i="2" s="1"/>
  <c r="N45" i="2"/>
  <c r="P45" i="2" s="1"/>
  <c r="N36" i="2"/>
  <c r="P36" i="2" s="1"/>
  <c r="P35" i="2"/>
  <c r="N35" i="2"/>
  <c r="N34" i="2" s="1"/>
  <c r="O31" i="2"/>
  <c r="P31" i="2" s="1"/>
  <c r="N31" i="2"/>
  <c r="N30" i="2"/>
  <c r="P30" i="2" s="1"/>
  <c r="N26" i="2"/>
  <c r="P26" i="2" s="1"/>
  <c r="P11" i="2"/>
  <c r="P10" i="2"/>
  <c r="P9" i="2"/>
  <c r="P8" i="2"/>
  <c r="P7" i="2"/>
  <c r="P6" i="2"/>
  <c r="P5" i="2"/>
  <c r="P4" i="2"/>
  <c r="P3" i="2"/>
  <c r="P2" i="2"/>
  <c r="T7" i="3" l="1"/>
  <c r="P21" i="2"/>
  <c r="N20" i="2"/>
  <c r="P34" i="2"/>
  <c r="N33" i="2"/>
  <c r="P41" i="2"/>
  <c r="N40" i="2"/>
  <c r="P16" i="2"/>
  <c r="N15" i="2"/>
  <c r="N44" i="2"/>
  <c r="N54" i="2"/>
  <c r="N25" i="2"/>
  <c r="P89" i="2"/>
  <c r="E100" i="2"/>
  <c r="N48" i="2"/>
  <c r="N29" i="2"/>
  <c r="P93" i="2"/>
  <c r="U9" i="3" l="1"/>
  <c r="T9" i="3"/>
  <c r="S9" i="3"/>
  <c r="U10" i="3"/>
  <c r="S10" i="3"/>
  <c r="T10" i="3"/>
  <c r="P48" i="2"/>
  <c r="N47" i="2"/>
  <c r="P47" i="2" s="1"/>
  <c r="P15" i="2"/>
  <c r="N14" i="2"/>
  <c r="P33" i="2"/>
  <c r="N32" i="2"/>
  <c r="P32" i="2" s="1"/>
  <c r="P44" i="2"/>
  <c r="N43" i="2"/>
  <c r="P29" i="2"/>
  <c r="N28" i="2"/>
  <c r="P40" i="2"/>
  <c r="N39" i="2"/>
  <c r="E101" i="2"/>
  <c r="P20" i="2"/>
  <c r="N19" i="2"/>
  <c r="P54" i="2"/>
  <c r="N53" i="2"/>
  <c r="P25" i="2"/>
  <c r="N24" i="2"/>
  <c r="E102" i="2" l="1"/>
  <c r="P43" i="2"/>
  <c r="N42" i="2"/>
  <c r="P42" i="2" s="1"/>
  <c r="P39" i="2"/>
  <c r="N38" i="2"/>
  <c r="P28" i="2"/>
  <c r="N27" i="2"/>
  <c r="P27" i="2" s="1"/>
  <c r="P53" i="2"/>
  <c r="N52" i="2"/>
  <c r="P52" i="2" s="1"/>
  <c r="P24" i="2"/>
  <c r="N23" i="2"/>
  <c r="P19" i="2"/>
  <c r="N18" i="2"/>
  <c r="N12" i="2"/>
  <c r="P12" i="2" s="1"/>
  <c r="P14" i="2"/>
  <c r="N13" i="2"/>
  <c r="P13" i="2" s="1"/>
  <c r="N22" i="2" l="1"/>
  <c r="P22" i="2" s="1"/>
  <c r="P23" i="2"/>
  <c r="N17" i="2"/>
  <c r="P17" i="2" s="1"/>
  <c r="P18" i="2"/>
  <c r="P38" i="2"/>
  <c r="N37" i="2"/>
  <c r="P37" i="2" s="1"/>
  <c r="E103" i="2"/>
  <c r="E104" i="2" l="1"/>
  <c r="E105" i="2" l="1"/>
  <c r="E106" i="2" l="1"/>
  <c r="E107" i="2" l="1"/>
  <c r="E108" i="2" l="1"/>
  <c r="E109" i="2" l="1"/>
  <c r="E110" i="2" l="1"/>
  <c r="E111" i="2" s="1"/>
  <c r="E112" i="2" s="1"/>
  <c r="E113" i="2" s="1"/>
  <c r="E114" i="2" s="1"/>
  <c r="E115" i="2" s="1"/>
  <c r="E116" i="2" s="1"/>
  <c r="E117" i="2" s="1"/>
  <c r="AA7" i="2"/>
  <c r="AC7" i="2"/>
  <c r="AC6" i="2"/>
  <c r="AA5" i="2"/>
  <c r="Y5" i="2"/>
  <c r="AC9" i="2" l="1"/>
  <c r="AC5" i="2"/>
  <c r="AC20" i="2"/>
  <c r="Y17" i="2"/>
  <c r="AA6" i="2"/>
  <c r="Y4" i="2"/>
  <c r="Y9" i="2"/>
  <c r="AC4" i="2"/>
  <c r="Y7" i="2"/>
  <c r="AC17" i="2"/>
  <c r="AC15" i="2"/>
  <c r="Y16" i="2"/>
  <c r="Y20" i="2"/>
  <c r="AC8" i="2"/>
  <c r="AC16" i="2"/>
  <c r="AA19" i="2"/>
  <c r="Y6" i="2"/>
  <c r="AA14" i="2"/>
  <c r="AA4" i="2"/>
  <c r="Y19" i="2"/>
  <c r="AA18" i="2"/>
  <c r="AA16" i="2"/>
  <c r="AC14" i="2"/>
  <c r="AC19" i="2"/>
  <c r="AA15" i="2"/>
  <c r="AA10" i="2"/>
  <c r="Y15" i="2"/>
  <c r="AA17" i="2"/>
  <c r="Y14" i="2"/>
  <c r="AA9" i="2"/>
  <c r="AC10" i="2"/>
  <c r="Y18" i="2"/>
  <c r="AA20" i="2"/>
  <c r="Y10" i="2"/>
  <c r="AA8" i="2"/>
  <c r="Y8" i="2"/>
  <c r="AC18" i="2"/>
</calcChain>
</file>

<file path=xl/sharedStrings.xml><?xml version="1.0" encoding="utf-8"?>
<sst xmlns="http://schemas.openxmlformats.org/spreadsheetml/2006/main" count="1467" uniqueCount="492">
  <si>
    <t>run_id</t>
  </si>
  <si>
    <t>arquivo_instancia</t>
  </si>
  <si>
    <t>ninst</t>
  </si>
  <si>
    <t>tem_janelas</t>
  </si>
  <si>
    <t>heuristica_retirada</t>
  </si>
  <si>
    <t>tamanho_clientes</t>
  </si>
  <si>
    <t>nos_rede</t>
  </si>
  <si>
    <t>veiculos</t>
  </si>
  <si>
    <t>capacidade</t>
  </si>
  <si>
    <t>tabu</t>
  </si>
  <si>
    <t>tipo_geracao</t>
  </si>
  <si>
    <t>tempo_exato</t>
  </si>
  <si>
    <t>tempo_bp</t>
  </si>
  <si>
    <t>fo_exato</t>
  </si>
  <si>
    <t>fo_bp</t>
  </si>
  <si>
    <t>gap_pct</t>
  </si>
  <si>
    <t>igual_exato</t>
  </si>
  <si>
    <t>nos_bp</t>
  </si>
  <si>
    <t>colunas_bp</t>
  </si>
  <si>
    <t>seq_exato</t>
  </si>
  <si>
    <t>seq_bp</t>
  </si>
  <si>
    <t>timestamp</t>
  </si>
  <si>
    <t>tam25_cap200_tabu0_inst0_cons0</t>
  </si>
  <si>
    <t>instancias/r101,txt</t>
  </si>
  <si>
    <t>PD</t>
  </si>
  <si>
    <t>V0: [0,12,9,20,1,26] ; V1: [0,11,19,10,26] ; V2: [0,18,26] ; V3: [0,23,22,4,26] ; V4: [0,7,8,17,26] ; V5: [0,5,16,6,26] ; V6: [0,2,21,3,24,25,26] ; V7: [0,14,15,13,26]</t>
  </si>
  <si>
    <t>V0: [0,23,22,4,25,26] ; V1: [0,5,16,6,26] ; V2: [0,12,9,20,1,26] ; V3: [0,2,21,3,24,26] ; V4: [0,11,19,10,26] ; V5: [0,7,8,17,26] ; V6: [0,18,26] ; V7: [0,14,15,13,26]</t>
  </si>
  <si>
    <t>Analise</t>
  </si>
  <si>
    <t>GAP</t>
  </si>
  <si>
    <t>tam25_cap200_tabu0_inst0_cons1</t>
  </si>
  <si>
    <t>V0: [0,2,21,3,24,25,26] ; V1: [0,12,9,20,1,26] ; V2: [0,11,19,10,26] ; V3: [0,23,22,4,26] ; V4: [0,18,26] ; V5: [0,5,16,6,26] ; V6: [0,14,15,13,26] ; V7: [0,7,8,17,26]</t>
  </si>
  <si>
    <t>heuristica</t>
  </si>
  <si>
    <t>MÁXIMO</t>
  </si>
  <si>
    <t>inst</t>
  </si>
  <si>
    <t>MÍNIMO</t>
  </si>
  <si>
    <t>MÉDIA</t>
  </si>
  <si>
    <t>tam25_cap200_tabu0_inst0_cons2</t>
  </si>
  <si>
    <t>V0: [0,12,9,20,1,26] ; V1: [0,23,22,4,26] ; V2: [0,11,19,10,26] ; V3: [0,7,8,17,26] ; V4: [0,14,15,13,26] ; V5: [0,18,26] ; V6: [0,5,16,6,26] ; V7: [0,2,21,3,24,25,26]</t>
  </si>
  <si>
    <t>instancias/c202,txt</t>
  </si>
  <si>
    <t>tam25_cap200_tabu0_inst0_cons3</t>
  </si>
  <si>
    <t>V0: [0,12,9,20,26] ; V1: [0,7,8,26] ; V2: [0,18,26] ; V3: [0,14,15,6,13,26] ; V4: [0,5,16,17,26] ; V5: [0,23,22,4,26] ; V6: [0,11,19,10,1,26] ; V7: [0,2,21,3,24,25,26]</t>
  </si>
  <si>
    <t>inserção com melhoria</t>
  </si>
  <si>
    <t>tam25_cap200_tabu0_inst0_cons22</t>
  </si>
  <si>
    <t>V0: [0,5,16,6,26] ; V1: [0,14,15,13,26] ; V2: [0,12,9,20,1,26] ; V3: [0,7,8,17,26] ; V4: [0,18,26] ; V5: [0,11,19,10,26] ; V6: [0,2,21,3,24,26] ; V7: [0,23,22,4,25,26]</t>
  </si>
  <si>
    <t>vns_ com acrescimo</t>
  </si>
  <si>
    <t>instancias/r102,txt</t>
  </si>
  <si>
    <t>V0: [0,14,16,6,13,26] ; V1: [0,3,9,20,1,26] ; V2: [0,7,11,19,10,26] ; V3: [0,2,15,22,4,25,26] ; V4: [0,18,26] ; V5: [0,8,17,5,26] ; V6: [0,21,23,24,12,26]</t>
  </si>
  <si>
    <t>V0: [0,14,16,6,13,26] ; V1: [0,7,11,19,10,26] ; V2: [0,21,23,24,12,26] ; V3: [0,2,15,22,4,25,26] ; V4: [0,8,17,5,26] ; V5: [0,3,9,20,1,26] ; V6: [0,18,26]</t>
  </si>
  <si>
    <t>sem pd</t>
  </si>
  <si>
    <t>instancias/c201,txt</t>
  </si>
  <si>
    <t>V0: [0,21,23,24,12,26] ; V1: [0,2,15,22,4,25,26] ; V2: [0,3,9,20,1,26] ; V3: [0,8,17,5,26] ; V4: [0,18,26] ; V5: [0,7,11,19,10,26] ; V6: [0,14,16,6,13,26]</t>
  </si>
  <si>
    <t>apenas pd</t>
  </si>
  <si>
    <t>V0: [0,8,17,5,26] ; V1: [0,3,9,20,1,26] ; V2: [0,21,23,24,12,26] ; V3: [0,18,26] ; V4: [0,7,11,19,10,26] ; V5: [0,14,16,6,13,26] ; V6: [0,2,15,22,4,25,26]</t>
  </si>
  <si>
    <t>todas</t>
  </si>
  <si>
    <t>instancias/c109,txt</t>
  </si>
  <si>
    <t>V0: [0,2,15,22,4,25,12,26] ; V1: [0,3,9,20,1,26] ; V2: [0,18,6,13,26] ; V3: [0,8,26] ; V4: [0,7,11,19,10,26] ; V5: [0,14,16,17,5,26] ; V6: [0,21,23,24,26]</t>
  </si>
  <si>
    <t>V0: [0,21,23,24,12,26] ; V1: [0,2,15,22,4,25,26] ; V2: [0,18,6,13,26] ; V3: [0,8,10,26] ; V4: [0,16,17,26] ; V5: [0,5,11,19,3,26] ; V6: [0,14,9,20,1,7,26]</t>
  </si>
  <si>
    <t>instancias/r103,txt</t>
  </si>
  <si>
    <t>V0: [0,7,19,11,10,26] ; V1: [0,2,21,23,22,4,25,26] ; V2: [0,14,15,6,13,26] ; V3: [0,1,20,9,3,24,12,26] ; V4: [0,18,8,17,16,5,26]</t>
  </si>
  <si>
    <t>V0: [0,7,19,11,8,18,26] ; V1: [0,12,24,3,9,10,20,1,26] ; V2: [0,2,15,14,16,17,5,26] ; V3: [0,6,13,26] ; V4: [0,21,23,22,4,25,26]</t>
  </si>
  <si>
    <t>TIME</t>
  </si>
  <si>
    <t>V0: [0,2,15,14,16,17,5,26] ; V1: [0,7,19,11,8,18,26] ; V2: [0,21,23,22,4,25,26] ; V3: [0,6,13,26] ; V4: [0,12,24,3,9,10,20,1,26]</t>
  </si>
  <si>
    <t>V0: [0,12,24,3,9,10,20,1,26] ; V1: [0,21,23,22,4,25,26] ; V2: [0,2,15,14,16,17,5,26] ; V3: [0,6,13,26] ; V4: [0,7,19,11,8,18,26]</t>
  </si>
  <si>
    <t>V0: [0,24,3,9,10,20,1,26] ; V1: [0,6,13,26] ; V2: [0,15,14,16,17,5,26] ; V3: [0,7,19,11,8,18,26] ; V4: [0,2,21,23,22,4,25,12,26]</t>
  </si>
  <si>
    <t>instancias/c203,txt</t>
  </si>
  <si>
    <t>V0: [0,21,23,22,4,25,26] ; V1: [0,2,15,14,16,17,5,26] ; V2: [0,6,13,26] ; V3: [0,7,19,11,8,18,26] ; V4: [0,12,24,3,9,10,20,1,26]</t>
  </si>
  <si>
    <t>instancias/r104,txt</t>
  </si>
  <si>
    <t>V0: [0,15,16,14,13,26] ; V1: [0,21,22,23,4,2,6,26] ; V2: [0,7,19,11,8,17,5,18,26] ; V3: [0,1,10,20,9,3,24,25,12,26]</t>
  </si>
  <si>
    <t>V0: [0,7,19,11,8,18,6,13,26] ; V1: [0,1,10,20,9,3,24,12,26] ; V2: [0,2,15,14,16,17,5,26] ; V3: [0,21,22,23,4,25,26]</t>
  </si>
  <si>
    <t>V0: [0,21,22,23,4,25,26] ; V1: [0,2,15,14,16,17,5,26] ; V2: [0,7,19,11,8,18,6,13,26] ; V3: [0,1,10,20,9,3,24,12,26]</t>
  </si>
  <si>
    <t>V0: [0,2,15,14,16,17,5,26] ; V1: [0,21,22,23,4,25,26] ; V2: [0,1,10,20,9,3,24,12,26] ; V3: [0,7,19,11,8,18,6,13,26]</t>
  </si>
  <si>
    <t>instancias/r112,txt</t>
  </si>
  <si>
    <t>V0: [0,1,10,20,9,3,24,25,12,26] ; V1: [0,7,19,11,8,17,16,5,18,26] ; V2: [0,21,22,23,4,26] ; V3: [0,6,14,15,2,13,26]</t>
  </si>
  <si>
    <t>V0: [0,7,19,11,8,18,6,13,26] ; V1: [0,2,15,14,16,17,5,26] ; V2: [0,21,22,23,4,25,12,26] ; V3: [0,24,3,9,20,10,1,26]</t>
  </si>
  <si>
    <t>instancias/r105,txt</t>
  </si>
  <si>
    <t>V0: [0,5,14,16,6,26] ; V1: [0,12,9,3,24,25,26] ; V2: [0,2,15,13,26] ; V3: [0,21,23,22,4,26] ; V4: [0,7,18,8,17,26] ; V5: [0,19,11,10,20,1,26]</t>
  </si>
  <si>
    <t>V0: [0,5,14,16,6,26] ; V1: [0,19,11,10,20,1,26] ; V2: [0,7,18,8,17,26] ; V3: [0,12,9,3,24,26] ; V4: [0,2,15,13,26] ; V5: [0,21,23,22,4,25,26]</t>
  </si>
  <si>
    <t>V0: [0,19,11,10,20,1,26] ; V1: [0,12,9,3,24,25,26] ; V2: [0,5,14,16,6,26] ; V3: [0,7,18,8,17,26] ; V4: [0,2,15,13,26] ; V5: [0,21,23,22,4,26]</t>
  </si>
  <si>
    <t>V0: [0,21,23,22,4,25,26] ; V1: [0,19,11,10,20,1,26] ; V2: [0,7,18,8,17,26] ; V3: [0,5,14,16,6,26] ; V4: [0,12,9,3,24,26] ; V5: [0,2,15,13,26]</t>
  </si>
  <si>
    <t>V0: [0,18,6,26] ; V1: [0,21,23,22,4,26] ; V2: [0,12,9,3,24,25,26] ; V3: [0,5,14,16,8,17,26] ; V4: [0,11,19,7,10,20,1,26] ; V5: [0,2,15,13,26]</t>
  </si>
  <si>
    <t>V0: [0,2,15,13,26] ; V1: [0,21,23,22,4,26] ; V2: [0,12,9,3,24,25,26] ; V3: [0,19,11,10,20,1,26] ; V4: [0,7,18,8,17,26] ; V5: [0,5,14,16,6,26]</t>
  </si>
  <si>
    <t>instancias/r106,txt</t>
  </si>
  <si>
    <t>V0: [0,2,15,23,22,4,25,21,26] ; V1: [0,14,16,6,13,26] ; V2: [0,7,19,11,10,26] ; V3: [0,18,8,17,5,26] ; V4: [0,1,9,20,3,24,12,26]</t>
  </si>
  <si>
    <t>V0: [0,1,9,20,3,24,26] ; V1: [0,14,16,6,13,26] ; V2: [0,18,8,17,5,26] ; V3: [0,2,15,23,22,21,4,25,12,26] ; V4: [0,7,19,11,10,26]</t>
  </si>
  <si>
    <t>V0: [0,7,19,11,10,26] ; V1: [0,2,15,23,22,4,25,21,26] ; V2: [0,18,8,17,5,26] ; V3: [0,14,16,6,13,26] ; V4: [0,1,9,20,3,24,12,26]</t>
  </si>
  <si>
    <t>V0: [0,7,19,11,10,26] ; V1: [0,2,15,23,22,4,25,21,26] ; V2: [0,14,16,6,13,26] ; V3: [0,1,9,20,3,24,12,26] ; V4: [0,18,8,17,5,26]</t>
  </si>
  <si>
    <t>V0: [0,19,11,10,20,26] ; V1: [0,2,14,16,5,6,13,26] ; V2: [0,7,18,8,17,26] ; V3: [0,21,15,23,22,4,25,12,26] ; V4: [0,1,9,3,24,26]</t>
  </si>
  <si>
    <t>SEM_SEQUENCIA_BP</t>
  </si>
  <si>
    <t>instancias/r107,txt</t>
  </si>
  <si>
    <t>V0: [0,6,16,14,13,26] ; V1: [0,18,7,11,19,8,17,5,26] ; V2: [0,2,15,23,22,4,25,21,26] ; V3: [0,12,24,3,9,20,10,1,26]</t>
  </si>
  <si>
    <t>V0: [0,18,7,11,19,8,17,16,5,26] ; V1: [0,21,23,22,4,25,24,26] ; V2: [0,12,3,9,20,10,1,26] ; V3: [0,2,15,14,6,13,26]</t>
  </si>
  <si>
    <t>V0: [0,12,3,9,20,10,1,26] ; V1: [0,18,7,11,19,8,17,16,5,26] ; V2: [0,21,23,22,4,25,24,26] ; V3: [0,2,15,14,6,13,26]</t>
  </si>
  <si>
    <t>V0: [0,23,22,21,4,25,24,26] ; V1: [0,18,7,11,19,8,17,16,5,26] ; V2: [0,12,3,9,20,10,1,26] ; V3: [0,2,15,14,6,13,26]</t>
  </si>
  <si>
    <t>V0: [0,21,23,22,4,25,24,26] ; V1: [0,2,15,14,6,13,26] ; V2: [0,12,3,9,20,10,1,26] ; V3: [0,18,7,11,19,8,17,16,5,26]</t>
  </si>
  <si>
    <t>instancias/r108,txt</t>
  </si>
  <si>
    <t>V0: [0,21,22,23,4,25,24,26] ; V1: [0,7,10,11,19,8,18,26] ; V2: [0,12,3,9,20,1,26] ; V3: [0,2,15,14,16,17,5,6,13,26]</t>
  </si>
  <si>
    <t>V0: [0,12,24,3,9,20,1,26] ; V1: [0,10,19,11,7,8,18,26] ; V2: [0,2,15,23,22,4,25,21,26] ; V3: [0,6,5,17,16,14,13,26]</t>
  </si>
  <si>
    <t>V0: [0,2,15,14,16,17,5,6,13,26] ; V1: [0,7,10,11,19,8,18,26] ; V2: [0,1,20,9,3,12,26] ; V3: [0,21,22,23,4,25,24,26]</t>
  </si>
  <si>
    <t>V0: [0,7,10,11,19,8,18,26] ; V1: [0,2,15,14,16,17,5,6,13,26] ; V2: [0,1,20,9,3,12,26] ; V3: [0,21,22,23,4,25,24,26]</t>
  </si>
  <si>
    <t>V0: [0,14,15,2,13,26] ; V1: [0,21,22,23,4,25,24,26] ; V2: [0,12,3,9,20,10,1,26] ; V3: [0,18,7,11,19,8,17,16,5,6,26]</t>
  </si>
  <si>
    <t>V0: [0,22,23,4,12,26] ; V1: [0,1,20,9,3,24,25,21,26] ; V2: [0,7,10,11,19,8,18,26] ; V3: [0,2,15,14,16,17,5,6,13,26]</t>
  </si>
  <si>
    <t>instancias/r109,txt</t>
  </si>
  <si>
    <t>V0: [0,2,15,14,16,17,13,26] ; V1: [0,5,8,18,6,26] ; V2: [0,21,22,23,4,25,24,26] ; V3: [0,12,3,9,20,1,26] ; V4: [0,7,19,11,10,26]</t>
  </si>
  <si>
    <t>V0: [0,21,22,23,4,25,24,26] ; V1: [0,12,3,9,20,1,26] ; V2: [0,7,19,11,10,26] ; V3: [0,5,8,18,6,26] ; V4: [0,2,15,14,16,17,13,26]</t>
  </si>
  <si>
    <t>V0: [0,12,3,9,20,1,26] ; V1: [0,2,15,14,16,17,13,26] ; V2: [0,5,8,18,6,26] ; V3: [0,21,22,23,4,25,24,26] ; V4: [0,7,19,11,10,26]</t>
  </si>
  <si>
    <t>V0: [0,12,3,9,20,1,26] ; V1: [0,21,22,23,4,25,24,26] ; V2: [0,2,15,14,16,17,13,26] ; V3: [0,7,19,11,10,26] ; V4: [0,5,8,18,6,26]</t>
  </si>
  <si>
    <t>V0: [0,12,9,3,24,25,4,26] ; V1: [0,18,8,6,26] ; V2: [0,21,23,22,13,26] ; V3: [0,5,7,19,11,10,20,1,26] ; V4: [0,2,15,14,16,17,26]</t>
  </si>
  <si>
    <t>V0: [0,5,8,18,6,26] ; V1: [0,2,15,14,16,17,13,26] ; V2: [0,7,19,11,10,26] ; V3: [0,21,22,23,4,25,24,26] ; V4: [0,12,3,9,20,1,26]</t>
  </si>
  <si>
    <t>instancias/r110,txt</t>
  </si>
  <si>
    <t>SEM_SEQUENCIA_EXATO</t>
  </si>
  <si>
    <t>V0: [0,5,16,14,15,22,23,13,26] ; V1: [0,11,19,7,10,20,9,1,26] ; V2: [0,18,8,17,6,26] ; V3: [0,2,21,12,3,24,25,4,26]</t>
  </si>
  <si>
    <t>V0: [0,18,8,17,6,26] ; V1: [0,5,16,14,15,22,23,13,26] ; V2: [0,2,21,12,3,24,25,4,26] ; V3: [0,11,19,7,10,20,9,1,26]</t>
  </si>
  <si>
    <t>V0: [0,18,8,17,6,26] ; V1: [0,5,16,14,15,22,23,13,26] ; V2: [0,11,19,7,10,20,9,1,26] ; V3: [0,2,21,12,3,24,25,4,26]</t>
  </si>
  <si>
    <t>V0: [0,5,16,14,15,22,23,25,26] ; V1: [0,21,2,6,18,8,17,13,26] ; V2: [0,11,19,7,10,20,9,1,26] ; V3: [0,12,3,24,4,26]</t>
  </si>
  <si>
    <t>V0: [0,5,16,14,15,22,23,13,26] ; V1: [0,18,8,17,6,26] ; V2: [0,11,19,7,10,20,9,1,26] ; V3: [0,2,21,12,3,24,25,4,26]</t>
  </si>
  <si>
    <t>instancias/r111,txt</t>
  </si>
  <si>
    <t>V0: [0,6,14,16,17,5,26] ; V1: [0,2,15,23,22,21,4,25,24,26] ; V2: [0,3,9,20,10,1,12,26] ; V3: [0,7,11,19,8,18,13,26]</t>
  </si>
  <si>
    <t>V0: [0,2,15,14,16,6,13,26] ; V1: [0,7,11,19,8,18,17,5,26] ; V2: [0,21,23,22,4,25,24,26] ; V3: [0,12,3,9,20,10,1,26]</t>
  </si>
  <si>
    <t>V0: [0,7,11,19,8,18,17,5,26] ; V1: [0,21,23,22,4,25,24,26] ; V2: [0,12,3,9,20,10,1,26] ; V3: [0,2,15,14,16,6,13,26]</t>
  </si>
  <si>
    <t>V0: [0,2,15,14,16,6,13,26] ; V1: [0,12,3,9,20,10,1,26] ; V2: [0,21,23,22,4,25,24,26] ; V3: [0,7,11,19,8,18,17,5,26]</t>
  </si>
  <si>
    <t>V0: [0,21,15,23,22,4,25,24,26] ; V1: [0,6,16,14,2,13,26] ; V2: [0,12,3,9,20,10,1,26] ; V3: [0,7,11,19,8,18,17,5,26]</t>
  </si>
  <si>
    <t>V0: [0,12,3,9,20,10,1,26] ; V1: [0,2,15,14,16,6,13,26] ; V2: [0,7,11,19,8,18,17,5,26] ; V3: [0,21,23,22,4,25,24,26]</t>
  </si>
  <si>
    <t>V0: [0,18,8,7,19,11,10,26] ; V1: [0,21,22,23,4,25,24,26] ; V2: [0,2,15,14,16,17,5,6,13,26] ; V3: [0,12,3,9,20,1,26]</t>
  </si>
  <si>
    <t>V0: [0,13,21,22,23,25,4,26] ; V1: [0,2,15,14,16,17,5,6,26] ; V2: [0,12,24,3,9,20,1,26] ; V3: [0,18,8,7,19,11,10,26]</t>
  </si>
  <si>
    <t>V0: [0,12,24,3,9,20,1,26] ; V1: [0,18,8,7,19,11,10,26] ; V2: [0,13,21,22,23,25,4,26] ; V3: [0,2,15,14,16,17,5,6,26]</t>
  </si>
  <si>
    <t>V0: [0,2,15,14,16,17,5,6,13,26] ; V1: [0,12,3,9,20,1,26] ; V2: [0,21,22,23,4,25,24,26] ; V3: [0,18,8,7,19,11,10,26]</t>
  </si>
  <si>
    <t>V0: [0,20,22,24,6,25,9,11,10,8,21,26] ; V1: [0,23,18,19,16,14,12,15,17,13,26] ; V2: [0,5,2,1,7,3,4,26]</t>
  </si>
  <si>
    <t>V0: [0,16,14,12,15,25,21,26] ; V1: [0,5,2,1,7,3,4,26] ; V2: [0,20,22,24,6,23,18,19,17,13,9,11,10,8,26]</t>
  </si>
  <si>
    <t>V0: [0,5,2,1,7,3,4,26] ; V1: [0,20,22,24,6,23,18,17,25,21,26] ; V2: [0,19,16,14,12,15,13,9,11,10,8,26]</t>
  </si>
  <si>
    <t>V0: [0,5,2,1,7,3,4,26] ; V1: [0,19,16,14,12,15,13,9,11,10,8,26] ; V2: [0,20,22,24,6,23,18,17,25,21,26]</t>
  </si>
  <si>
    <t>V0: [0,20,22,24,21,26] ; V1: [0,6,23,18,19,15,17,13,25,11,26] ; V2: [0,5,2,1,7,3,4,16,14,12,9,10,8,26]</t>
  </si>
  <si>
    <t>V0: [0,5,2,1,7,3,4,26] ; V1: [0,19,16,14,12,15,13,9,11,10,8,26] ; V2: [0,22,20,24,6,23,18,17,25,21,26]</t>
  </si>
  <si>
    <t>V0: [0,12,16,14,15,13,9,11,10,8,26] ; V1: [0,4,3,7,1,2,5,26] ; V2: [0,20,22,24,6,23,18,19,17,25,21,26]</t>
  </si>
  <si>
    <t>V0: [0,18,16,14,12,9,11,10,26] ; V1: [0,24,6,23,19,15,17,13,25,8,26] ; V2: [0,20,22,21,5,2,1,7,3,4,26]</t>
  </si>
  <si>
    <t>V0: [0,23,18,19,9,11,26] ; V1: [0,20,22,24,6,21,5,2,1,7,3,4,10,8,26] ; V2: [0,12,16,14,15,17,13,25,26]</t>
  </si>
  <si>
    <t>V0: [0,2,1,7,3,4,26] ; V1: [0,20,22,24,6,23,18,19,16,14,12,9,8,26] ; V2: [0,21,15,17,13,25,11,10,5,26]</t>
  </si>
  <si>
    <t>V0: [0,5,2,1,7,3,4,26] ; V1: [0,23,18,19,16,14,12,15,17,13,26] ; V2: [0,20,22,24,6,25,9,11,10,8,21,26]</t>
  </si>
  <si>
    <t>V0: [0,9,12,14,16,19,18,26] ; V1: [0,4,3,7,1,2,5,11,10,8,21,26] ; V2: [0,20,22,24,6,23,15,17,13,25,26]</t>
  </si>
  <si>
    <t>V0: [0,21,22,6,26] ; V1: [0,20,24,23,18,19,16,15,17,25,26] ; V2: [0,5,2,3,7,4,1,14,12,13,9,11,10,8,26]</t>
  </si>
  <si>
    <t>V0: [0,15,19,16,14,12,9,26] ; V1: [0,20,22,24,6,23,18,17,13,25,21,26] ; V2: [0,4,3,7,1,2,5,11,10,8,26]</t>
  </si>
  <si>
    <t>V0: [0,23,15,17,13,25,9,11,10,5,8,26] ; V1: [0,20,22,24,6,26] ; V2: [0,21,18,19,16,14,12,2,1,7,3,4,26]</t>
  </si>
  <si>
    <t>tam25_cap200_tabu0_inst0_cons10</t>
  </si>
  <si>
    <t>instancias/c101N,txt</t>
  </si>
  <si>
    <t>V0: [0,13,17,18,19,15,16,14,12,26] ; V1: [0,20,24,25,23,22,21,26] ; V2: [0,5,3,7,8,10,11,9,6,4,2,1,26]</t>
  </si>
  <si>
    <t>V0: [0,5,3,7,8,10,11,9,6,4,2,1,26] ; V1: [0,20,24,25,23,22,21,26] ; V2: [0,13,17,18,19,15,16,14,12,26]</t>
  </si>
  <si>
    <t>instancias/c102,txt</t>
  </si>
  <si>
    <t>V0: [0,7,8,10,11,9,6,4,2,1,3,5,26] ; V1: [0,20,24,25,23,22,21,26] ; V2: [0,13,17,18,19,15,16,14,12,26]</t>
  </si>
  <si>
    <t>V0: [0,13,17,18,19,15,16,14,12,26] ; V1: [0,20,24,25,23,22,21,26] ; V2: [0,7,8,10,11,9,6,4,2,1,3,5,26]</t>
  </si>
  <si>
    <t>instancias/c103,txt</t>
  </si>
  <si>
    <t>V0: [0,20,24,25,23,22,21,26] ; V1: [0,13,17,18,19,15,16,14,12,26] ; V2: [0,7,8,10,11,9,6,4,2,1,3,5,26]</t>
  </si>
  <si>
    <t>V0: [0,13,17,18,19,15,16,14,12,26] ; V1: [0,7,8,10,11,9,6,4,2,1,3,5,26] ; V2: [0,20,24,25,23,22,21,26]</t>
  </si>
  <si>
    <t>instancias/c104,txt</t>
  </si>
  <si>
    <t>V0: [0,7,8,11,9,6,4,2,1,3,5,26] ; V1: [0,20,24,25,23,22,21,26] ; V2: [0,13,17,18,19,15,16,14,12,10,26]</t>
  </si>
  <si>
    <t>instancias/c105,txt</t>
  </si>
  <si>
    <t>V0: [0,13,17,18,19,15,16,14,12,26] ; V1: [0,5,3,7,8,10,11,9,6,4,2,1,26] ; V2: [0,20,24,25,23,22,21,26]</t>
  </si>
  <si>
    <t>instancias/c106,txt</t>
  </si>
  <si>
    <t>V0: [0,20,24,25,23,22,21,26] ; V1: [0,5,3,7,8,10,11,9,6,4,2,1,26] ; V2: [0,13,17,18,19,15,16,14,12,26]</t>
  </si>
  <si>
    <t>V0: [0,5,3,7,8,10,11,9,6,4,2,1,26] ; V1: [0,13,17,18,19,15,16,14,12,26] ; V2: [0,20,24,25,23,22,21,26]</t>
  </si>
  <si>
    <t>instancias/c107,txt</t>
  </si>
  <si>
    <t>instancias/c108,txt</t>
  </si>
  <si>
    <t>V0: [0,20,24,25,23,22,21,26] ; V1: [0,13,17,18,19,15,16,14,12,26] ; V2: [0,5,3,7,8,10,11,9,6,4,2,1,26]</t>
  </si>
  <si>
    <t>V0: [0,3,13,17,18,19,15,16,14,12,26] ; V1: [0,20,24,25,23,22,21,26] ; V2: [0,5,7,8,10,11,9,6,4,2,1,26]</t>
  </si>
  <si>
    <t>V0: [0,12,9,20,1,26] ; V1: [0,7,8,17,26] ; V2: [0,23,22,4,26] ; V3: [0,2,21,3,24,25,26] ; V4: [0,14,15,13,26] ; V5: [0,18,26] ; V6: [0,11,19,10,26] ; V7: [0,5,16,6,26]</t>
  </si>
  <si>
    <t>V0: [0,3,9,20,1,26] ; V1: [0,8,17,5,26] ; V2: [0,21,23,24,12,26] ; V3: [0,7,11,19,10,26] ; V4: [0,18,26] ; V5: [0,14,16,6,13,26] ; V6: [0,2,15,22,4,25,26]</t>
  </si>
  <si>
    <t>V0: [0,12,24,3,9,10,20,1,26] ; V1: [0,21,23,22,4,25,26] ; V2: [0,7,19,11,8,18,26] ; V3: [0,2,15,14,16,17,5,26] ; V4: [0,6,13,26]</t>
  </si>
  <si>
    <t>V0: [0,12,24,3,9,20,10,1,26] ; V1: [0,2,15,14,16,17,5,26] ; V2: [0,7,19,11,8,18,6,13,26] ; V3: [0,21,22,23,4,25,26]</t>
  </si>
  <si>
    <t>V0: [0,19,11,10,20,1,26] ; V1: [0,21,23,22,4,26] ; V2: [0,7,18,8,17,26] ; V3: [0,2,15,13,26] ; V4: [0,12,9,3,24,25,26] ; V5: [0,5,14,16,6,26]</t>
  </si>
  <si>
    <t>V0: [0,2,15,23,22,4,25,21,26] ; V1: [0,7,19,11,10,26] ; V2: [0,1,9,20,3,24,12,26] ; V3: [0,14,16,6,13,26] ; V4: [0,18,8,17,5,26]</t>
  </si>
  <si>
    <t>V0: [0,2,15,14,6,13,26] ; V1: [0,21,23,22,4,25,24,26] ; V2: [0,18,7,11,19,8,17,16,5,26] ; V3: [0,12,3,9,20,10,1,26]</t>
  </si>
  <si>
    <t>V0: [0,7,10,11,19,8,18,26] ; V1: [0,2,15,14,16,17,5,6,13,26] ; V2: [0,12,3,9,20,1,26] ; V3: [0,21,22,23,4,25,24,26]</t>
  </si>
  <si>
    <t>V0: [0,21,22,23,4,25,24,26] ; V1: [0,12,3,9,20,1,26] ; V2: [0,2,15,14,16,17,13,26] ; V3: [0,5,8,18,6,26] ; V4: [0,7,19,11,10,26]</t>
  </si>
  <si>
    <t>V0: [0,11,19,7,10,20,9,1,26] ; V1: [0,18,8,17,6,26] ; V2: [0,2,21,12,3,24,25,4,26] ; V3: [0,5,16,14,15,22,23,13,26]</t>
  </si>
  <si>
    <t>V0: [0,7,11,19,8,18,17,5,26] ; V1: [0,12,3,9,20,10,1,26] ; V2: [0,2,15,14,16,6,13,26] ; V3: [0,21,23,22,4,25,24,26]</t>
  </si>
  <si>
    <t>V0: [0,18,8,7,19,11,10,26] ; V1: [0,2,15,14,16,17,5,6,26] ; V2: [0,12,24,3,9,20,1,26] ; V3: [0,13,21,22,23,25,4,26]</t>
  </si>
  <si>
    <t>c101N_g10_G50_SM20</t>
  </si>
  <si>
    <t>c102_g10_G50_SM20</t>
  </si>
  <si>
    <t>instancias/c101N.txt</t>
  </si>
  <si>
    <t>0.0</t>
  </si>
  <si>
    <t>c103_g10_G50_SM20</t>
  </si>
  <si>
    <t>instancias/c102.txt</t>
  </si>
  <si>
    <t>c104_g10_G50_SM20</t>
  </si>
  <si>
    <t>instancias/c103.txt</t>
  </si>
  <si>
    <t>c105_g10_G50_SM20</t>
  </si>
  <si>
    <t>instancias/c104.txt</t>
  </si>
  <si>
    <t>V0: [0,20,24,25,23,22,21,26] ; V1: [0,13,15,12,14,16,19,18,17,10,26] ; V2: [0,7,8,11,9,6,4,2,1,3,5,26]</t>
  </si>
  <si>
    <t>c106_g10_G50_SM20</t>
  </si>
  <si>
    <t>instancias/c105.txt</t>
  </si>
  <si>
    <t>c107_g10_G50_SM20</t>
  </si>
  <si>
    <t>instancias/c106.txt</t>
  </si>
  <si>
    <t>c108_g10_G50_SM20</t>
  </si>
  <si>
    <t>instancias/c107.txt</t>
  </si>
  <si>
    <t>c109_g10_G50_SM20</t>
  </si>
  <si>
    <t>instancias/c108.txt</t>
  </si>
  <si>
    <t>-0.0</t>
  </si>
  <si>
    <t>r101_g30_G50_SM20</t>
  </si>
  <si>
    <t>instancias/c109.txt</t>
  </si>
  <si>
    <t>r102_g30_G50_SM20</t>
  </si>
  <si>
    <t>r103_g30_G50_SM20</t>
  </si>
  <si>
    <t>r104_g30_G50_SM20</t>
  </si>
  <si>
    <t>r105_g30_G50_SM20</t>
  </si>
  <si>
    <t>r106_g30_G50_SM20</t>
  </si>
  <si>
    <t>r107_g30_G50_SM20</t>
  </si>
  <si>
    <t>r108_g30_G50_SM20</t>
  </si>
  <si>
    <t>r109_g30_G50_SM20</t>
  </si>
  <si>
    <t>r110_g30_G50_SM20</t>
  </si>
  <si>
    <t>r111_g30_G50_SM20</t>
  </si>
  <si>
    <t>instancia</t>
  </si>
  <si>
    <t>modo</t>
  </si>
  <si>
    <t>gamma_ini</t>
  </si>
  <si>
    <t>gamma_max</t>
  </si>
  <si>
    <t>sem_melhora</t>
  </si>
  <si>
    <t>melhor_LB</t>
  </si>
  <si>
    <t>melhor_UB</t>
  </si>
  <si>
    <t>gap_final_%</t>
  </si>
  <si>
    <t>iteracoes</t>
  </si>
  <si>
    <t>n_colunas_final</t>
  </si>
  <si>
    <t>Tempos</t>
  </si>
  <si>
    <t>c101N_g10_G50_SM10</t>
  </si>
  <si>
    <t>c101N</t>
  </si>
  <si>
    <t>SEM_estab</t>
  </si>
  <si>
    <t>Analise final</t>
  </si>
  <si>
    <t>c101N_g10_G50_SM15</t>
  </si>
  <si>
    <t>Sem Melhora</t>
  </si>
  <si>
    <t>Gap Médio</t>
  </si>
  <si>
    <t>Gap Min</t>
  </si>
  <si>
    <t>Gap Max</t>
  </si>
  <si>
    <t>Tempo Médio</t>
  </si>
  <si>
    <t>Ncolunas</t>
  </si>
  <si>
    <t>Iteracoes</t>
  </si>
  <si>
    <t>c101N_g10_G50_SM25</t>
  </si>
  <si>
    <t>c101N_g10_G50_SM30</t>
  </si>
  <si>
    <t>c101N_g10_G50_SM40</t>
  </si>
  <si>
    <t>c101N_g10_G50_SM50</t>
  </si>
  <si>
    <t>c102_g10_G50_SM10</t>
  </si>
  <si>
    <t>c102</t>
  </si>
  <si>
    <t>c102_g10_G50_SM15</t>
  </si>
  <si>
    <t>c102_g10_G50_SM25</t>
  </si>
  <si>
    <t>c102_g10_G50_SM30</t>
  </si>
  <si>
    <t>c102_g10_G50_SM40</t>
  </si>
  <si>
    <t>c102_g10_G50_SM50</t>
  </si>
  <si>
    <t>c103_g10_G50_SM10</t>
  </si>
  <si>
    <t>c103</t>
  </si>
  <si>
    <t>c103_g10_G50_SM15</t>
  </si>
  <si>
    <t>c103_g10_G50_SM25</t>
  </si>
  <si>
    <t>c103_g10_G50_SM30</t>
  </si>
  <si>
    <t>c103_g10_G50_SM40</t>
  </si>
  <si>
    <t>c103_g10_G50_SM50</t>
  </si>
  <si>
    <t>c104_g10_G50_SM10</t>
  </si>
  <si>
    <t>c104</t>
  </si>
  <si>
    <t>c104_g10_G50_SM15</t>
  </si>
  <si>
    <t>c104_g10_G50_SM25</t>
  </si>
  <si>
    <t>c104_g10_G50_SM30</t>
  </si>
  <si>
    <t>c104_g10_G50_SM40</t>
  </si>
  <si>
    <t>c104_g10_G50_SM50</t>
  </si>
  <si>
    <t>c105_g10_G50_SM10</t>
  </si>
  <si>
    <t>c105</t>
  </si>
  <si>
    <t>c105_g10_G50_SM15</t>
  </si>
  <si>
    <t>c105_g10_G50_SM25</t>
  </si>
  <si>
    <t>c105_g10_G50_SM30</t>
  </si>
  <si>
    <t>c105_g10_G50_SM40</t>
  </si>
  <si>
    <t>c105_g10_G50_SM50</t>
  </si>
  <si>
    <t>c106_g10_G50_SM10</t>
  </si>
  <si>
    <t>c106</t>
  </si>
  <si>
    <t>c106_g10_G50_SM15</t>
  </si>
  <si>
    <t>c106_g10_G50_SM25</t>
  </si>
  <si>
    <t>c106_g10_G50_SM30</t>
  </si>
  <si>
    <t>c106_g10_G50_SM40</t>
  </si>
  <si>
    <t>c106_g10_G50_SM50</t>
  </si>
  <si>
    <t>c107_g10_G50_SM10</t>
  </si>
  <si>
    <t>c107</t>
  </si>
  <si>
    <t>c107_g10_G50_SM15</t>
  </si>
  <si>
    <t>c107_g10_G50_SM25</t>
  </si>
  <si>
    <t>c107_g10_G50_SM30</t>
  </si>
  <si>
    <t>c107_g10_G50_SM40</t>
  </si>
  <si>
    <t>c107_g10_G50_SM50</t>
  </si>
  <si>
    <t>c108_g10_G50_SM10</t>
  </si>
  <si>
    <t>c108</t>
  </si>
  <si>
    <t>c108_g10_G50_SM15</t>
  </si>
  <si>
    <t>c108_g10_G50_SM25</t>
  </si>
  <si>
    <t>c108_g10_G50_SM30</t>
  </si>
  <si>
    <t>c108_g10_G50_SM40</t>
  </si>
  <si>
    <t>c108_g10_G50_SM50</t>
  </si>
  <si>
    <t>c109_g10_G50_SM10</t>
  </si>
  <si>
    <t>c109</t>
  </si>
  <si>
    <t>c109_g10_G50_SM15</t>
  </si>
  <si>
    <t>c109_g10_G50_SM25</t>
  </si>
  <si>
    <t>c109_g10_G50_SM30</t>
  </si>
  <si>
    <t>c109_g10_G50_SM40</t>
  </si>
  <si>
    <t>c109_g10_G50_SM50</t>
  </si>
  <si>
    <t>r101_g30_G50_SM10</t>
  </si>
  <si>
    <t>r101</t>
  </si>
  <si>
    <t>r101_g30_G50_SM15</t>
  </si>
  <si>
    <t>r101_g30_G50_SM25</t>
  </si>
  <si>
    <t>r101_g30_G50_SM30</t>
  </si>
  <si>
    <t>r101_g30_G50_SM40</t>
  </si>
  <si>
    <t>r101_g30_G50_SM50</t>
  </si>
  <si>
    <t>r102_g30_G50_SM10</t>
  </si>
  <si>
    <t>r102</t>
  </si>
  <si>
    <t>r102_g30_G50_SM15</t>
  </si>
  <si>
    <t>r102_g30_G50_SM25</t>
  </si>
  <si>
    <t>r102_g30_G50_SM30</t>
  </si>
  <si>
    <t>r102_g30_G50_SM40</t>
  </si>
  <si>
    <t>r102_g30_G50_SM50</t>
  </si>
  <si>
    <t>r103_g30_G50_SM10</t>
  </si>
  <si>
    <t>r103</t>
  </si>
  <si>
    <t>r103_g30_G50_SM15</t>
  </si>
  <si>
    <t>r103_g30_G50_SM25</t>
  </si>
  <si>
    <t>r103_g30_G50_SM30</t>
  </si>
  <si>
    <t>r103_g30_G50_SM40</t>
  </si>
  <si>
    <t>r103_g30_G50_SM50</t>
  </si>
  <si>
    <t>r104_g30_G50_SM10</t>
  </si>
  <si>
    <t>r104</t>
  </si>
  <si>
    <t>r104_g30_G50_SM15</t>
  </si>
  <si>
    <t>r104_g30_G50_SM25</t>
  </si>
  <si>
    <t>r104_g30_G50_SM30</t>
  </si>
  <si>
    <t>r104_g30_G50_SM40</t>
  </si>
  <si>
    <t>r104_g30_G50_SM50</t>
  </si>
  <si>
    <t>r105_g30_G50_SM10</t>
  </si>
  <si>
    <t>r105</t>
  </si>
  <si>
    <t>r105_g30_G50_SM15</t>
  </si>
  <si>
    <t>r105_g30_G50_SM25</t>
  </si>
  <si>
    <t>r105_g30_G50_SM30</t>
  </si>
  <si>
    <t>r105_g30_G50_SM40</t>
  </si>
  <si>
    <t>r105_g30_G50_SM50</t>
  </si>
  <si>
    <t>r106_g30_G50_SM10</t>
  </si>
  <si>
    <t>r106</t>
  </si>
  <si>
    <t>r106_g30_G50_SM15</t>
  </si>
  <si>
    <t>r106_g30_G50_SM25</t>
  </si>
  <si>
    <t>r106_g30_G50_SM30</t>
  </si>
  <si>
    <t>r106_g30_G50_SM40</t>
  </si>
  <si>
    <t>FO</t>
  </si>
  <si>
    <t>RC101-25</t>
  </si>
  <si>
    <t>RC102-25</t>
  </si>
  <si>
    <t>RC103-25</t>
  </si>
  <si>
    <t>RC104-25</t>
  </si>
  <si>
    <t>RC105-25</t>
  </si>
  <si>
    <t>RC106-25</t>
  </si>
  <si>
    <t>RC107-25</t>
  </si>
  <si>
    <t>RC108-25</t>
  </si>
  <si>
    <t>R107-25</t>
  </si>
  <si>
    <t>R108-25</t>
  </si>
  <si>
    <t>R109-25</t>
  </si>
  <si>
    <t>R110-25</t>
  </si>
  <si>
    <t>R111-25</t>
  </si>
  <si>
    <t>R112-25</t>
  </si>
  <si>
    <t>inserção com melhoria\grasp_bid_final com pd</t>
  </si>
  <si>
    <t>Branch-and-Price VRPTW — Análise Comparativa · 25 Nós · Solomon</t>
  </si>
  <si>
    <t>4 cenários: Estabilização (COM/SEM) × Construtiva (Geométrica/Inteligente) · Configuração escolhida: COM Estab + Inteligente</t>
  </si>
  <si>
    <t>RESUMO GERAL — 29 Instâncias</t>
  </si>
  <si>
    <t>Cenário</t>
  </si>
  <si>
    <t>Ótimos</t>
  </si>
  <si>
    <t>% Ótimos</t>
  </si>
  <si>
    <t>Iter. Méd.</t>
  </si>
  <si>
    <t>Colunas Méd.</t>
  </si>
  <si>
    <t>|Gap| Méd.</t>
  </si>
  <si>
    <t>Vence em</t>
  </si>
  <si>
    <t>Iter. vs melhor</t>
  </si>
  <si>
    <t>Cols. vs melhor</t>
  </si>
  <si>
    <t>Decisão</t>
  </si>
  <si>
    <t>COM Estab + Geo</t>
  </si>
  <si>
    <t>26/29</t>
  </si>
  <si>
    <t>COM Estab + Int</t>
  </si>
  <si>
    <t>29/29</t>
  </si>
  <si>
    <t>★ MELHOR</t>
  </si>
  <si>
    <t>—</t>
  </si>
  <si>
    <t>ESCOLHIDO ✓</t>
  </si>
  <si>
    <t>SEM Estab + Geo</t>
  </si>
  <si>
    <t>25/29</t>
  </si>
  <si>
    <t>SEM Estab + Int</t>
  </si>
  <si>
    <t>CRITÉRIO DE ESCOLHA</t>
  </si>
  <si>
    <t>Critério</t>
  </si>
  <si>
    <t>Justificativa</t>
  </si>
  <si>
    <t>1. Qualidade (100% ótimos)</t>
  </si>
  <si>
    <t>Apenas COM_Int e SEM_Int atingem 29/29 ótimos. COM_Geo fica em 26/29 — instâncias r110, r111 e rc101 permanecem abertas.</t>
  </si>
  <si>
    <t>2. Pool de colunas (efic.)</t>
  </si>
  <si>
    <t>COM_Int tem o menor pool com estabilização (340 colunas), 4,5% abaixo do COM_Geo (356). Pools menores são críticos ao escalar para 50/100 nós.</t>
  </si>
  <si>
    <t>3. Estabilização (robustez)</t>
  </si>
  <si>
    <t>A estabilização reduz 34–39% de iterações e 33–37% de colunas em média. SEM_Int também é ótimo, mas usa 57% mais iterações e 57% mais colunas que COM_Int.</t>
  </si>
  <si>
    <t>4. Escabilidade</t>
  </si>
  <si>
    <t>Menor pool por iteração significa menor custo computacional acumulado em instâncias maiores, onde timeout é o principal risco.</t>
  </si>
  <si>
    <t>MÉDIAS POR FAMÍLIA</t>
  </si>
  <si>
    <t>Família</t>
  </si>
  <si>
    <t>Métrica</t>
  </si>
  <si>
    <t>Melhor</t>
  </si>
  <si>
    <t>C (9)</t>
  </si>
  <si>
    <t>Ótimos (%)</t>
  </si>
  <si>
    <t>COM_Geo</t>
  </si>
  <si>
    <t>Iterações</t>
  </si>
  <si>
    <t>Colunas</t>
  </si>
  <si>
    <t>COM_Int</t>
  </si>
  <si>
    <t>R (12)</t>
  </si>
  <si>
    <t>RC (8)</t>
  </si>
  <si>
    <t>GERAL (29)</t>
  </si>
  <si>
    <t>IMPACTO DA ESTABILIZAÇÃO — Redução COM vs SEM (%)</t>
  </si>
  <si>
    <t>SEM_Geo</t>
  </si>
  <si>
    <t>Redução (Geo)</t>
  </si>
  <si>
    <t>SEM_Int</t>
  </si>
  <si>
    <t>Redução (Int)</t>
  </si>
  <si>
    <t>GRÁFICO 1 — % Ótimos por Família e Cenário</t>
  </si>
  <si>
    <t>Geral (29)</t>
  </si>
  <si>
    <t>GRÁFICO 2 — Iterações e Colunas Médias por Família</t>
  </si>
  <si>
    <t>INSTÂNCIAS PROBLEMÁTICAS (gap &gt; 0.1%)</t>
  </si>
  <si>
    <t>Instância</t>
  </si>
  <si>
    <t>R</t>
  </si>
  <si>
    <t>0.000%</t>
  </si>
  <si>
    <t>r110</t>
  </si>
  <si>
    <t>r111</t>
  </si>
  <si>
    <t>rc101</t>
  </si>
  <si>
    <t>RC</t>
  </si>
  <si>
    <t>rc102</t>
  </si>
  <si>
    <t>LEGENDA</t>
  </si>
  <si>
    <t xml:space="preserve">Análise feita para </t>
  </si>
  <si>
    <t>Instancia</t>
  </si>
  <si>
    <t>Familia</t>
  </si>
  <si>
    <t>UB_lit</t>
  </si>
  <si>
    <t>LB_lit</t>
  </si>
  <si>
    <t>C101N</t>
  </si>
  <si>
    <t>C</t>
  </si>
  <si>
    <t>C102</t>
  </si>
  <si>
    <t>C103</t>
  </si>
  <si>
    <t>C104</t>
  </si>
  <si>
    <t>C105</t>
  </si>
  <si>
    <t>C106</t>
  </si>
  <si>
    <t>C107</t>
  </si>
  <si>
    <t>C108</t>
  </si>
  <si>
    <t>C109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</si>
  <si>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</si>
  <si>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</si>
  <si>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</si>
  <si>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</si>
  <si>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</si>
  <si>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</si>
  <si>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</si>
  <si>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</si>
  <si>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</si>
  <si>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</si>
  <si>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</si>
  <si>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</si>
  <si>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</si>
  <si>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</si>
  <si>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</si>
  <si>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</si>
  <si>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</si>
  <si>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</si>
  <si>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</si>
  <si>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</si>
  <si>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c101n</t>
  </si>
  <si>
    <t>|</t>
  </si>
  <si>
    <t>custo=</t>
  </si>
  <si>
    <t>362.4</t>
  </si>
  <si>
    <t>art</t>
  </si>
  <si>
    <t>✓</t>
  </si>
  <si>
    <t>376.4</t>
  </si>
  <si>
    <t>410.4</t>
  </si>
  <si>
    <t>402.1</t>
  </si>
  <si>
    <t>373.5</t>
  </si>
  <si>
    <t>365.4</t>
  </si>
  <si>
    <t>365.2</t>
  </si>
  <si>
    <t>431.3</t>
  </si>
  <si>
    <t>391.1</t>
  </si>
  <si>
    <t>1139.3</t>
  </si>
  <si>
    <t>946.5</t>
  </si>
  <si>
    <t>911.3</t>
  </si>
  <si>
    <t>746.6</t>
  </si>
  <si>
    <t>1016.8</t>
  </si>
  <si>
    <t>888.7</t>
  </si>
  <si>
    <t>r107</t>
  </si>
  <si>
    <t>919.3</t>
  </si>
  <si>
    <t>r108</t>
  </si>
  <si>
    <t>763.8</t>
  </si>
  <si>
    <t>r109</t>
  </si>
  <si>
    <t>876.8</t>
  </si>
  <si>
    <t>900.8</t>
  </si>
  <si>
    <t>784.8</t>
  </si>
  <si>
    <t>r112</t>
  </si>
  <si>
    <t>734.3</t>
  </si>
  <si>
    <t>914.6</t>
  </si>
  <si>
    <t>885.3</t>
  </si>
  <si>
    <t>rc103</t>
  </si>
  <si>
    <t>768.3</t>
  </si>
  <si>
    <t>rc104</t>
  </si>
  <si>
    <t>584.1</t>
  </si>
  <si>
    <t>rc105</t>
  </si>
  <si>
    <t>940.2</t>
  </si>
  <si>
    <t>rc106</t>
  </si>
  <si>
    <t>776.3</t>
  </si>
  <si>
    <t>rc107</t>
  </si>
  <si>
    <t>774.8</t>
  </si>
  <si>
    <t>rc108</t>
  </si>
  <si>
    <t>654.1</t>
  </si>
  <si>
    <t>nos</t>
  </si>
  <si>
    <t>Construtiva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</si>
</sst>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00%"/>
    <numFmt numFmtId="167" formatCode="\+0.0%;\-0.0%;\-"/>
    <numFmt numFmtId="168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333333"/>
      <name val="Arial"/>
      <charset val="1"/>
    </font>
    <font>
      <sz val="9"/>
      <color rgb="FF1A5E2A"/>
      <name val="Arial"/>
      <charset val="1"/>
    </font>
    <font>
      <sz val="9"/>
      <color rgb="FF9C1A1A"/>
      <name val="Arial"/>
      <charset val="1"/>
    </font>
    <font>
      <b/>
      <sz val="9"/>
      <color rgb="FF217346"/>
      <name val="Arial"/>
      <charset val="1"/>
    </font>
    <font>
      <b/>
      <sz val="9"/>
      <color rgb="FF1A5E2A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9C1A1A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6B75"/>
      </patternFill>
    </fill>
    <fill>
      <patternFill patternType="solid">
        <fgColor rgb="FFF8F8F8"/>
        <bgColor rgb="FFF2F2F2"/>
      </patternFill>
    </fill>
    <fill>
      <patternFill patternType="solid">
        <fgColor rgb="FF1F6B75"/>
        <bgColor rgb="FF217346"/>
      </patternFill>
    </fill>
    <fill>
      <patternFill patternType="solid">
        <fgColor rgb="FFF2F2F2"/>
        <bgColor rgb="FFEAF4FB"/>
      </patternFill>
    </fill>
    <fill>
      <patternFill patternType="solid">
        <fgColor rgb="FF217346"/>
        <bgColor rgb="FF1F6B75"/>
      </patternFill>
    </fill>
    <fill>
      <patternFill patternType="solid">
        <fgColor rgb="FFE2EFDA"/>
        <bgColor rgb="FFEAF8EA"/>
      </patternFill>
    </fill>
    <fill>
      <patternFill patternType="solid">
        <fgColor rgb="FF843C0C"/>
        <bgColor rgb="FF9C1A1A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8F8F8"/>
      </patternFill>
    </fill>
    <fill>
      <patternFill patternType="solid">
        <fgColor rgb="FFEAF4FB"/>
        <bgColor rgb="FFF2F2F2"/>
      </patternFill>
    </fill>
    <fill>
      <patternFill patternType="solid">
        <fgColor rgb="FFEAF8EA"/>
        <bgColor rgb="FFEAF4FB"/>
      </patternFill>
    </fill>
    <fill>
      <patternFill patternType="solid">
        <fgColor rgb="FFFFF8E8"/>
        <bgColor rgb="FFF8F8F8"/>
      </patternFill>
    </fill>
    <fill>
      <patternFill patternType="solid">
        <fgColor rgb="FFFFF2CC"/>
        <bgColor rgb="FFFFF8E8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375623"/>
        <bgColor rgb="FF1F4E78"/>
      </patternFill>
    </fill>
    <fill>
      <patternFill patternType="solid">
        <fgColor rgb="FFEBF5EB"/>
        <bgColor rgb="FFF2F2F2"/>
      </patternFill>
    </fill>
    <fill>
      <patternFill patternType="solid">
        <fgColor rgb="FFEBF0FB"/>
        <bgColor rgb="FFF2F2F2"/>
      </patternFill>
    </fill>
    <fill>
      <patternFill patternType="solid">
        <fgColor rgb="FFFBF4EB"/>
        <b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11">
    <xf numFmtId="0" fontId="0" fillId="0" borderId="0" xfId="0"/>
    <xf numFmtId="0" fontId="0" fillId="0" borderId="0" xfId="1" applyNumberFormat="1" applyFont="1"/>
    <xf numFmtId="22" fontId="0" fillId="0" borderId="0" xfId="0" applyNumberFormat="1"/>
    <xf numFmtId="9" fontId="0" fillId="0" borderId="0" xfId="1" applyFont="1"/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9" fontId="2" fillId="0" borderId="1" xfId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9" fontId="0" fillId="0" borderId="1" xfId="1" applyFont="1" applyBorder="1" applyAlignment="1">
      <alignment vertical="center"/>
    </xf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0" borderId="7" xfId="0" applyBorder="1"/>
    <xf numFmtId="0" fontId="0" fillId="0" borderId="8" xfId="0" applyBorder="1"/>
    <xf numFmtId="164" fontId="0" fillId="3" borderId="0" xfId="0" applyNumberFormat="1" applyFill="1"/>
    <xf numFmtId="164" fontId="0" fillId="3" borderId="6" xfId="0" applyNumberFormat="1" applyFill="1" applyBorder="1"/>
    <xf numFmtId="164" fontId="0" fillId="3" borderId="9" xfId="0" applyNumberFormat="1" applyFill="1" applyBorder="1"/>
    <xf numFmtId="0" fontId="3" fillId="0" borderId="0" xfId="2"/>
    <xf numFmtId="0" fontId="7" fillId="5" borderId="11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/>
    </xf>
    <xf numFmtId="0" fontId="3" fillId="6" borderId="0" xfId="2" applyFill="1"/>
    <xf numFmtId="0" fontId="7" fillId="7" borderId="11" xfId="2" applyFont="1" applyFill="1" applyBorder="1" applyAlignment="1">
      <alignment horizontal="left" vertical="center"/>
    </xf>
    <xf numFmtId="0" fontId="8" fillId="8" borderId="11" xfId="2" applyFont="1" applyFill="1" applyBorder="1" applyAlignment="1">
      <alignment horizontal="center" vertical="center"/>
    </xf>
    <xf numFmtId="9" fontId="8" fillId="8" borderId="11" xfId="2" applyNumberFormat="1" applyFont="1" applyFill="1" applyBorder="1" applyAlignment="1">
      <alignment horizontal="center" vertical="center"/>
    </xf>
    <xf numFmtId="165" fontId="8" fillId="8" borderId="11" xfId="2" applyNumberFormat="1" applyFont="1" applyFill="1" applyBorder="1" applyAlignment="1">
      <alignment horizontal="center" vertical="center"/>
    </xf>
    <xf numFmtId="166" fontId="8" fillId="8" borderId="11" xfId="2" applyNumberFormat="1" applyFont="1" applyFill="1" applyBorder="1" applyAlignment="1">
      <alignment horizontal="center" vertical="center"/>
    </xf>
    <xf numFmtId="0" fontId="3" fillId="6" borderId="11" xfId="2" applyFill="1" applyBorder="1"/>
    <xf numFmtId="167" fontId="9" fillId="8" borderId="11" xfId="2" applyNumberFormat="1" applyFont="1" applyFill="1" applyBorder="1" applyAlignment="1">
      <alignment horizontal="center" vertical="center"/>
    </xf>
    <xf numFmtId="167" fontId="10" fillId="8" borderId="11" xfId="2" applyNumberFormat="1" applyFont="1" applyFill="1" applyBorder="1" applyAlignment="1">
      <alignment horizontal="center" vertical="center"/>
    </xf>
    <xf numFmtId="0" fontId="7" fillId="9" borderId="11" xfId="2" applyFont="1" applyFill="1" applyBorder="1" applyAlignment="1">
      <alignment horizontal="left" vertical="center"/>
    </xf>
    <xf numFmtId="0" fontId="11" fillId="10" borderId="11" xfId="2" applyFont="1" applyFill="1" applyBorder="1" applyAlignment="1">
      <alignment horizontal="center" vertical="center"/>
    </xf>
    <xf numFmtId="9" fontId="11" fillId="10" borderId="11" xfId="2" applyNumberFormat="1" applyFont="1" applyFill="1" applyBorder="1" applyAlignment="1">
      <alignment horizontal="center" vertical="center"/>
    </xf>
    <xf numFmtId="165" fontId="11" fillId="10" borderId="11" xfId="2" applyNumberFormat="1" applyFont="1" applyFill="1" applyBorder="1" applyAlignment="1">
      <alignment horizontal="center" vertical="center"/>
    </xf>
    <xf numFmtId="166" fontId="11" fillId="10" borderId="11" xfId="2" applyNumberFormat="1" applyFont="1" applyFill="1" applyBorder="1" applyAlignment="1">
      <alignment horizontal="center" vertical="center"/>
    </xf>
    <xf numFmtId="0" fontId="12" fillId="10" borderId="11" xfId="2" applyFont="1" applyFill="1" applyBorder="1" applyAlignment="1">
      <alignment horizontal="center" vertical="center"/>
    </xf>
    <xf numFmtId="0" fontId="7" fillId="11" borderId="11" xfId="2" applyFont="1" applyFill="1" applyBorder="1" applyAlignment="1">
      <alignment horizontal="left" vertical="center"/>
    </xf>
    <xf numFmtId="0" fontId="7" fillId="12" borderId="11" xfId="2" applyFont="1" applyFill="1" applyBorder="1" applyAlignment="1">
      <alignment horizontal="left" vertical="center"/>
    </xf>
    <xf numFmtId="0" fontId="8" fillId="13" borderId="11" xfId="2" applyFont="1" applyFill="1" applyBorder="1" applyAlignment="1">
      <alignment horizontal="center" vertical="center"/>
    </xf>
    <xf numFmtId="9" fontId="8" fillId="13" borderId="11" xfId="2" applyNumberFormat="1" applyFont="1" applyFill="1" applyBorder="1" applyAlignment="1">
      <alignment horizontal="center" vertical="center"/>
    </xf>
    <xf numFmtId="165" fontId="8" fillId="13" borderId="11" xfId="2" applyNumberFormat="1" applyFont="1" applyFill="1" applyBorder="1" applyAlignment="1">
      <alignment horizontal="center" vertical="center"/>
    </xf>
    <xf numFmtId="166" fontId="8" fillId="13" borderId="11" xfId="2" applyNumberFormat="1" applyFont="1" applyFill="1" applyBorder="1" applyAlignment="1">
      <alignment horizontal="center" vertical="center"/>
    </xf>
    <xf numFmtId="167" fontId="10" fillId="13" borderId="11" xfId="2" applyNumberFormat="1" applyFont="1" applyFill="1" applyBorder="1" applyAlignment="1">
      <alignment horizontal="center" vertical="center"/>
    </xf>
    <xf numFmtId="0" fontId="12" fillId="8" borderId="11" xfId="2" applyFont="1" applyFill="1" applyBorder="1" applyAlignment="1">
      <alignment horizontal="left" vertical="center" wrapText="1"/>
    </xf>
    <xf numFmtId="0" fontId="12" fillId="13" borderId="11" xfId="2" applyFont="1" applyFill="1" applyBorder="1" applyAlignment="1">
      <alignment horizontal="left" vertical="center" wrapText="1"/>
    </xf>
    <xf numFmtId="0" fontId="7" fillId="7" borderId="11" xfId="2" applyFont="1" applyFill="1" applyBorder="1" applyAlignment="1">
      <alignment horizontal="center" vertical="center"/>
    </xf>
    <xf numFmtId="0" fontId="7" fillId="9" borderId="11" xfId="2" applyFont="1" applyFill="1" applyBorder="1" applyAlignment="1">
      <alignment horizontal="center" vertical="center"/>
    </xf>
    <xf numFmtId="0" fontId="7" fillId="11" borderId="11" xfId="2" applyFont="1" applyFill="1" applyBorder="1" applyAlignment="1">
      <alignment horizontal="center" vertical="center"/>
    </xf>
    <xf numFmtId="0" fontId="7" fillId="12" borderId="11" xfId="2" applyFont="1" applyFill="1" applyBorder="1" applyAlignment="1">
      <alignment horizontal="center" vertical="center"/>
    </xf>
    <xf numFmtId="0" fontId="14" fillId="14" borderId="11" xfId="2" applyFont="1" applyFill="1" applyBorder="1" applyAlignment="1">
      <alignment horizontal="left" vertical="center"/>
    </xf>
    <xf numFmtId="0" fontId="13" fillId="14" borderId="11" xfId="2" applyFont="1" applyFill="1" applyBorder="1" applyAlignment="1">
      <alignment horizontal="left" vertical="center"/>
    </xf>
    <xf numFmtId="168" fontId="13" fillId="14" borderId="11" xfId="2" applyNumberFormat="1" applyFont="1" applyFill="1" applyBorder="1" applyAlignment="1">
      <alignment horizontal="center" vertical="center"/>
    </xf>
    <xf numFmtId="168" fontId="12" fillId="10" borderId="11" xfId="2" applyNumberFormat="1" applyFont="1" applyFill="1" applyBorder="1" applyAlignment="1">
      <alignment horizontal="center" vertical="center"/>
    </xf>
    <xf numFmtId="0" fontId="13" fillId="14" borderId="11" xfId="2" applyFont="1" applyFill="1" applyBorder="1" applyAlignment="1">
      <alignment horizontal="center" vertical="center"/>
    </xf>
    <xf numFmtId="0" fontId="13" fillId="13" borderId="11" xfId="2" applyFont="1" applyFill="1" applyBorder="1" applyAlignment="1">
      <alignment horizontal="left" vertical="center"/>
    </xf>
    <xf numFmtId="165" fontId="13" fillId="13" borderId="11" xfId="2" applyNumberFormat="1" applyFont="1" applyFill="1" applyBorder="1" applyAlignment="1">
      <alignment horizontal="center" vertical="center"/>
    </xf>
    <xf numFmtId="165" fontId="12" fillId="10" borderId="11" xfId="2" applyNumberFormat="1" applyFont="1" applyFill="1" applyBorder="1" applyAlignment="1">
      <alignment horizontal="center" vertical="center"/>
    </xf>
    <xf numFmtId="165" fontId="13" fillId="14" borderId="11" xfId="2" applyNumberFormat="1" applyFont="1" applyFill="1" applyBorder="1" applyAlignment="1">
      <alignment horizontal="center" vertical="center"/>
    </xf>
    <xf numFmtId="0" fontId="3" fillId="4" borderId="12" xfId="2" applyFill="1" applyBorder="1"/>
    <xf numFmtId="0" fontId="14" fillId="15" borderId="11" xfId="2" applyFont="1" applyFill="1" applyBorder="1" applyAlignment="1">
      <alignment horizontal="left" vertical="center"/>
    </xf>
    <xf numFmtId="0" fontId="13" fillId="15" borderId="11" xfId="2" applyFont="1" applyFill="1" applyBorder="1" applyAlignment="1">
      <alignment horizontal="left" vertical="center"/>
    </xf>
    <xf numFmtId="168" fontId="13" fillId="15" borderId="11" xfId="2" applyNumberFormat="1" applyFont="1" applyFill="1" applyBorder="1" applyAlignment="1">
      <alignment horizontal="center" vertical="center"/>
    </xf>
    <xf numFmtId="0" fontId="13" fillId="15" borderId="11" xfId="2" applyFont="1" applyFill="1" applyBorder="1" applyAlignment="1">
      <alignment horizontal="center" vertical="center"/>
    </xf>
    <xf numFmtId="165" fontId="13" fillId="15" borderId="11" xfId="2" applyNumberFormat="1" applyFont="1" applyFill="1" applyBorder="1" applyAlignment="1">
      <alignment horizontal="center" vertical="center"/>
    </xf>
    <xf numFmtId="0" fontId="14" fillId="16" borderId="11" xfId="2" applyFont="1" applyFill="1" applyBorder="1" applyAlignment="1">
      <alignment horizontal="left" vertical="center"/>
    </xf>
    <xf numFmtId="0" fontId="13" fillId="16" borderId="11" xfId="2" applyFont="1" applyFill="1" applyBorder="1" applyAlignment="1">
      <alignment horizontal="left" vertical="center"/>
    </xf>
    <xf numFmtId="168" fontId="13" fillId="16" borderId="11" xfId="2" applyNumberFormat="1" applyFont="1" applyFill="1" applyBorder="1" applyAlignment="1">
      <alignment horizontal="center" vertical="center"/>
    </xf>
    <xf numFmtId="0" fontId="13" fillId="16" borderId="11" xfId="2" applyFont="1" applyFill="1" applyBorder="1" applyAlignment="1">
      <alignment horizontal="center" vertical="center"/>
    </xf>
    <xf numFmtId="165" fontId="13" fillId="16" borderId="11" xfId="2" applyNumberFormat="1" applyFont="1" applyFill="1" applyBorder="1" applyAlignment="1">
      <alignment horizontal="center" vertical="center"/>
    </xf>
    <xf numFmtId="0" fontId="14" fillId="17" borderId="11" xfId="2" applyFont="1" applyFill="1" applyBorder="1" applyAlignment="1">
      <alignment horizontal="left" vertical="center"/>
    </xf>
    <xf numFmtId="0" fontId="13" fillId="17" borderId="11" xfId="2" applyFont="1" applyFill="1" applyBorder="1" applyAlignment="1">
      <alignment horizontal="left" vertical="center"/>
    </xf>
    <xf numFmtId="168" fontId="13" fillId="17" borderId="11" xfId="2" applyNumberFormat="1" applyFont="1" applyFill="1" applyBorder="1" applyAlignment="1">
      <alignment horizontal="center" vertical="center"/>
    </xf>
    <xf numFmtId="0" fontId="13" fillId="17" borderId="11" xfId="2" applyFont="1" applyFill="1" applyBorder="1" applyAlignment="1">
      <alignment horizontal="center" vertical="center"/>
    </xf>
    <xf numFmtId="165" fontId="13" fillId="17" borderId="11" xfId="2" applyNumberFormat="1" applyFont="1" applyFill="1" applyBorder="1" applyAlignment="1">
      <alignment horizontal="center" vertical="center"/>
    </xf>
    <xf numFmtId="168" fontId="9" fillId="15" borderId="11" xfId="2" applyNumberFormat="1" applyFont="1" applyFill="1" applyBorder="1" applyAlignment="1">
      <alignment horizontal="center" vertical="center"/>
    </xf>
    <xf numFmtId="168" fontId="9" fillId="13" borderId="11" xfId="2" applyNumberFormat="1" applyFont="1" applyFill="1" applyBorder="1" applyAlignment="1">
      <alignment horizontal="center" vertical="center"/>
    </xf>
    <xf numFmtId="0" fontId="13" fillId="8" borderId="11" xfId="2" applyFont="1" applyFill="1" applyBorder="1" applyAlignment="1">
      <alignment horizontal="left" vertical="center"/>
    </xf>
    <xf numFmtId="9" fontId="13" fillId="8" borderId="11" xfId="2" applyNumberFormat="1" applyFont="1" applyFill="1" applyBorder="1" applyAlignment="1">
      <alignment horizontal="center" vertical="center"/>
    </xf>
    <xf numFmtId="9" fontId="12" fillId="10" borderId="11" xfId="2" applyNumberFormat="1" applyFont="1" applyFill="1" applyBorder="1" applyAlignment="1">
      <alignment horizontal="center" vertical="center"/>
    </xf>
    <xf numFmtId="9" fontId="13" fillId="13" borderId="11" xfId="2" applyNumberFormat="1" applyFont="1" applyFill="1" applyBorder="1" applyAlignment="1">
      <alignment horizontal="center" vertical="center"/>
    </xf>
    <xf numFmtId="165" fontId="13" fillId="8" borderId="11" xfId="2" applyNumberFormat="1" applyFont="1" applyFill="1" applyBorder="1" applyAlignment="1">
      <alignment horizontal="center" vertical="center"/>
    </xf>
    <xf numFmtId="0" fontId="14" fillId="8" borderId="11" xfId="2" applyFont="1" applyFill="1" applyBorder="1" applyAlignment="1">
      <alignment horizontal="left" vertical="center"/>
    </xf>
    <xf numFmtId="0" fontId="13" fillId="8" borderId="11" xfId="2" applyFont="1" applyFill="1" applyBorder="1" applyAlignment="1">
      <alignment horizontal="center" vertical="center"/>
    </xf>
    <xf numFmtId="166" fontId="12" fillId="10" borderId="11" xfId="2" applyNumberFormat="1" applyFont="1" applyFill="1" applyBorder="1" applyAlignment="1">
      <alignment horizontal="center" vertical="center"/>
    </xf>
    <xf numFmtId="166" fontId="15" fillId="18" borderId="11" xfId="2" applyNumberFormat="1" applyFont="1" applyFill="1" applyBorder="1" applyAlignment="1">
      <alignment horizontal="center" vertical="center"/>
    </xf>
    <xf numFmtId="0" fontId="14" fillId="13" borderId="11" xfId="2" applyFont="1" applyFill="1" applyBorder="1" applyAlignment="1">
      <alignment horizontal="left" vertical="center"/>
    </xf>
    <xf numFmtId="0" fontId="13" fillId="13" borderId="11" xfId="2" applyFont="1" applyFill="1" applyBorder="1" applyAlignment="1">
      <alignment horizontal="center" vertical="center"/>
    </xf>
    <xf numFmtId="0" fontId="0" fillId="19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8" borderId="10" xfId="2" applyFont="1" applyFill="1" applyBorder="1" applyAlignment="1">
      <alignment horizontal="left" vertical="center"/>
    </xf>
    <xf numFmtId="0" fontId="6" fillId="4" borderId="10" xfId="2" applyFont="1" applyFill="1" applyBorder="1" applyAlignment="1">
      <alignment horizontal="center" vertical="center"/>
    </xf>
    <xf numFmtId="0" fontId="7" fillId="5" borderId="10" xfId="2" applyFont="1" applyFill="1" applyBorder="1" applyAlignment="1">
      <alignment horizontal="center" vertical="center"/>
    </xf>
    <xf numFmtId="0" fontId="13" fillId="13" borderId="10" xfId="2" applyFont="1" applyFill="1" applyBorder="1" applyAlignment="1">
      <alignment horizontal="left" vertical="center" wrapText="1"/>
    </xf>
    <xf numFmtId="0" fontId="13" fillId="8" borderId="10" xfId="2" applyFont="1" applyFill="1" applyBorder="1" applyAlignment="1">
      <alignment horizontal="left" vertical="center" wrapText="1"/>
    </xf>
    <xf numFmtId="0" fontId="4" fillId="4" borderId="0" xfId="2" applyFont="1" applyFill="1" applyAlignment="1">
      <alignment horizontal="center" vertical="center"/>
    </xf>
    <xf numFmtId="0" fontId="5" fillId="5" borderId="0" xfId="2" applyFont="1" applyFill="1" applyAlignment="1">
      <alignment horizontal="center" vertical="center"/>
    </xf>
    <xf numFmtId="0" fontId="6" fillId="9" borderId="10" xfId="2" applyFont="1" applyFill="1" applyBorder="1" applyAlignment="1">
      <alignment horizontal="center" vertical="center"/>
    </xf>
    <xf numFmtId="0" fontId="16" fillId="21" borderId="13" xfId="0" applyFont="1" applyFill="1" applyBorder="1" applyAlignment="1">
      <alignment horizontal="center" vertical="center"/>
    </xf>
    <xf numFmtId="0" fontId="17" fillId="21" borderId="13" xfId="0" applyFont="1" applyFill="1" applyBorder="1" applyAlignment="1">
      <alignment horizontal="center" vertical="center"/>
    </xf>
    <xf numFmtId="164" fontId="17" fillId="21" borderId="13" xfId="0" applyNumberFormat="1" applyFont="1" applyFill="1" applyBorder="1" applyAlignment="1">
      <alignment horizontal="center" vertical="center"/>
    </xf>
    <xf numFmtId="0" fontId="16" fillId="22" borderId="13" xfId="0" applyFont="1" applyFill="1" applyBorder="1" applyAlignment="1">
      <alignment horizontal="center" vertical="center"/>
    </xf>
    <xf numFmtId="0" fontId="17" fillId="22" borderId="13" xfId="0" applyFont="1" applyFill="1" applyBorder="1" applyAlignment="1">
      <alignment horizontal="center" vertical="center"/>
    </xf>
    <xf numFmtId="164" fontId="17" fillId="22" borderId="13" xfId="0" applyNumberFormat="1" applyFont="1" applyFill="1" applyBorder="1" applyAlignment="1">
      <alignment horizontal="center" vertical="center"/>
    </xf>
    <xf numFmtId="0" fontId="16" fillId="23" borderId="13" xfId="0" applyFont="1" applyFill="1" applyBorder="1" applyAlignment="1">
      <alignment horizontal="center" vertical="center"/>
    </xf>
    <xf numFmtId="0" fontId="17" fillId="23" borderId="13" xfId="0" applyFont="1" applyFill="1" applyBorder="1" applyAlignment="1">
      <alignment horizontal="center" vertical="center"/>
    </xf>
    <xf numFmtId="164" fontId="17" fillId="23" borderId="13" xfId="0" applyNumberFormat="1" applyFont="1" applyFill="1" applyBorder="1" applyAlignment="1">
      <alignment horizontal="center" vertical="center"/>
    </xf>
    <xf numFmtId="0" fontId="7" fillId="20" borderId="13" xfId="0" applyFont="1" applyFill="1" applyBorder="1" applyAlignment="1">
      <alignment vertical="center"/>
    </xf>
  </cellXfs>
  <cellStyles count="3">
    <cellStyle name="Normal" xfId="0" builtinId="0"/>
    <cellStyle name="Normal 2" xfId="2" xr:uid="{BFDADD0E-817E-4832-9C08-0A0188A0AF82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% Instâncias Ótimas por Família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Análise_25nósComSemEstabIntegGe!$C$53</c:f>
              <c:strCache>
                <c:ptCount val="1"/>
                <c:pt idx="0">
                  <c:v>COM Estab + Geo</c:v>
                </c:pt>
              </c:strCache>
            </c:strRef>
          </c:tx>
          <c:spPr>
            <a:solidFill>
              <a:srgbClr val="1F6B75"/>
            </a:solidFill>
            <a:ln w="9360">
              <a:solidFill>
                <a:srgbClr val="1F6B7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Análise_25nósComSemEstabIntegGe!$B$54:$B$57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Análise_25nósComSemEstabIntegGe!$C$54:$C$57</c:f>
              <c:numCache>
                <c:formatCode>0%</c:formatCode>
                <c:ptCount val="4"/>
                <c:pt idx="0">
                  <c:v>1</c:v>
                </c:pt>
                <c:pt idx="1">
                  <c:v>0.83333333333333304</c:v>
                </c:pt>
                <c:pt idx="2">
                  <c:v>0.875</c:v>
                </c:pt>
                <c:pt idx="3">
                  <c:v>0.89655172413793105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9-4E23-A20D-896C5FC77C7E}"/>
            </c:ext>
          </c:extLst>
        </c:ser>
        <c:ser>
          <c:idx val="1"/>
          <c:order val="1"/>
          <c:tx>
            <c:strRef>
              <c:f>Análise_25nósComSemEstabIntegGe!$D$53</c:f>
              <c:strCache>
                <c:ptCount val="1"/>
                <c:pt idx="0">
                  <c:v>COM Estab + Int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21734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Análise_25nósComSemEstabIntegGe!$B$54:$B$57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Análise_25nósComSemEstabIntegGe!$D$54:$D$57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9-4E23-A20D-896C5FC77C7E}"/>
            </c:ext>
          </c:extLst>
        </c:ser>
        <c:ser>
          <c:idx val="2"/>
          <c:order val="2"/>
          <c:tx>
            <c:strRef>
              <c:f>Análise_25nósComSemEstabIntegGe!$E$53</c:f>
              <c:strCache>
                <c:ptCount val="1"/>
                <c:pt idx="0">
                  <c:v>SEM Estab + Geo</c:v>
                </c:pt>
              </c:strCache>
            </c:strRef>
          </c:tx>
          <c:spPr>
            <a:solidFill>
              <a:srgbClr val="843C0C"/>
            </a:solidFill>
            <a:ln w="9360">
              <a:solidFill>
                <a:srgbClr val="843C0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Análise_25nósComSemEstabIntegGe!$B$54:$B$57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Análise_25nósComSemEstabIntegGe!$E$54:$E$57</c:f>
              <c:numCache>
                <c:formatCode>0%</c:formatCode>
                <c:ptCount val="4"/>
                <c:pt idx="0">
                  <c:v>0.88888888888888895</c:v>
                </c:pt>
                <c:pt idx="1">
                  <c:v>0.83333333333333304</c:v>
                </c:pt>
                <c:pt idx="2">
                  <c:v>0.875</c:v>
                </c:pt>
                <c:pt idx="3">
                  <c:v>0.86206896551724099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9-4E23-A20D-896C5FC77C7E}"/>
            </c:ext>
          </c:extLst>
        </c:ser>
        <c:ser>
          <c:idx val="3"/>
          <c:order val="3"/>
          <c:tx>
            <c:strRef>
              <c:f>Análise_25nósComSemEstabIntegGe!$F$53</c:f>
              <c:strCache>
                <c:ptCount val="1"/>
                <c:pt idx="0">
                  <c:v>SEM Estab + Int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7030A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Análise_25nósComSemEstabIntegGe!$B$54:$B$57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Análise_25nósComSemEstabIntegGe!$F$54:$F$57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9-4E23-A20D-896C5FC77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960314"/>
        <c:axId val="23127812"/>
      </c:barChart>
      <c:catAx>
        <c:axId val="98960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Família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127812"/>
        <c:crosses val="autoZero"/>
        <c:auto val="1"/>
        <c:lblAlgn val="ctr"/>
        <c:lblOffset val="100"/>
        <c:noMultiLvlLbl val="0"/>
      </c:catAx>
      <c:valAx>
        <c:axId val="23127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% Ótimas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9603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Iterações médias por família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Análise_25nósComSemEstabIntegGe!$C$61</c:f>
              <c:strCache>
                <c:ptCount val="1"/>
                <c:pt idx="0">
                  <c:v>COM Estab + Geo</c:v>
                </c:pt>
              </c:strCache>
            </c:strRef>
          </c:tx>
          <c:spPr>
            <a:solidFill>
              <a:srgbClr val="1F6B75"/>
            </a:solidFill>
            <a:ln w="9360">
              <a:solidFill>
                <a:srgbClr val="1F6B7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Análise_25nósComSemEstabIntegGe!$B$62:$B$65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Análise_25nósComSemEstabIntegGe!$C$62:$C$65</c:f>
              <c:numCache>
                <c:formatCode>#,##0.0</c:formatCode>
                <c:ptCount val="4"/>
                <c:pt idx="0">
                  <c:v>134.222222222222</c:v>
                </c:pt>
                <c:pt idx="1">
                  <c:v>111.333333333333</c:v>
                </c:pt>
                <c:pt idx="2">
                  <c:v>34.125</c:v>
                </c:pt>
                <c:pt idx="3">
                  <c:v>97.137931034482804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9-4428-B443-53061982CD88}"/>
            </c:ext>
          </c:extLst>
        </c:ser>
        <c:ser>
          <c:idx val="1"/>
          <c:order val="1"/>
          <c:tx>
            <c:strRef>
              <c:f>Análise_25nósComSemEstabIntegGe!$D$61</c:f>
              <c:strCache>
                <c:ptCount val="1"/>
                <c:pt idx="0">
                  <c:v>COM Estab + Int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21734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Análise_25nósComSemEstabIntegGe!$B$62:$B$65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Análise_25nósComSemEstabIntegGe!$D$62:$D$65</c:f>
              <c:numCache>
                <c:formatCode>#,##0.0</c:formatCode>
                <c:ptCount val="4"/>
                <c:pt idx="0">
                  <c:v>160.777777777778</c:v>
                </c:pt>
                <c:pt idx="1">
                  <c:v>156.416666666667</c:v>
                </c:pt>
                <c:pt idx="2">
                  <c:v>32.625</c:v>
                </c:pt>
                <c:pt idx="3">
                  <c:v>123.620689655172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9-4428-B443-53061982CD88}"/>
            </c:ext>
          </c:extLst>
        </c:ser>
        <c:ser>
          <c:idx val="2"/>
          <c:order val="2"/>
          <c:tx>
            <c:strRef>
              <c:f>Análise_25nósComSemEstabIntegGe!$E$61</c:f>
              <c:strCache>
                <c:ptCount val="1"/>
                <c:pt idx="0">
                  <c:v>SEM Estab + Geo</c:v>
                </c:pt>
              </c:strCache>
            </c:strRef>
          </c:tx>
          <c:spPr>
            <a:solidFill>
              <a:srgbClr val="843C0C"/>
            </a:solidFill>
            <a:ln w="9360">
              <a:solidFill>
                <a:srgbClr val="843C0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Análise_25nósComSemEstabIntegGe!$B$62:$B$65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Análise_25nósComSemEstabIntegGe!$E$62:$E$65</c:f>
              <c:numCache>
                <c:formatCode>#,##0.0</c:formatCode>
                <c:ptCount val="4"/>
                <c:pt idx="0">
                  <c:v>196.666666666667</c:v>
                </c:pt>
                <c:pt idx="1">
                  <c:v>177.166666666667</c:v>
                </c:pt>
                <c:pt idx="2">
                  <c:v>83</c:v>
                </c:pt>
                <c:pt idx="3">
                  <c:v>157.241379310345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9-4428-B443-53061982CD88}"/>
            </c:ext>
          </c:extLst>
        </c:ser>
        <c:ser>
          <c:idx val="3"/>
          <c:order val="3"/>
          <c:tx>
            <c:strRef>
              <c:f>Análise_25nósComSemEstabIntegGe!$F$61</c:f>
              <c:strCache>
                <c:ptCount val="1"/>
                <c:pt idx="0">
                  <c:v>SEM Estab + Int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7030A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Análise_25nósComSemEstabIntegGe!$B$62:$B$65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Análise_25nósComSemEstabIntegGe!$F$62:$F$65</c:f>
              <c:numCache>
                <c:formatCode>#,##0.0</c:formatCode>
                <c:ptCount val="4"/>
                <c:pt idx="0">
                  <c:v>305</c:v>
                </c:pt>
                <c:pt idx="1">
                  <c:v>191.083333333333</c:v>
                </c:pt>
                <c:pt idx="2">
                  <c:v>49.5</c:v>
                </c:pt>
                <c:pt idx="3">
                  <c:v>187.37931034482801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59-4428-B443-53061982C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90783"/>
        <c:axId val="24462473"/>
      </c:barChart>
      <c:catAx>
        <c:axId val="922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4462473"/>
        <c:crosses val="autoZero"/>
        <c:auto val="1"/>
        <c:lblAlgn val="ctr"/>
        <c:lblOffset val="100"/>
        <c:noMultiLvlLbl val="0"/>
      </c:catAx>
      <c:valAx>
        <c:axId val="24462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Iterações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22907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Colunas médias no pool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Análise_25nósComSemEstabIntegGe!$H$61</c:f>
              <c:strCache>
                <c:ptCount val="1"/>
                <c:pt idx="0">
                  <c:v>COM Estab + Geo</c:v>
                </c:pt>
              </c:strCache>
            </c:strRef>
          </c:tx>
          <c:spPr>
            <a:solidFill>
              <a:srgbClr val="1F6B75"/>
            </a:solidFill>
            <a:ln w="9360">
              <a:solidFill>
                <a:srgbClr val="1F6B7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Análise_25nósComSemEstabIntegGe!$G$62:$G$65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Análise_25nósComSemEstabIntegGe!$H$62:$H$65</c:f>
              <c:numCache>
                <c:formatCode>#,##0.0</c:formatCode>
                <c:ptCount val="4"/>
                <c:pt idx="0">
                  <c:v>327.555555555556</c:v>
                </c:pt>
                <c:pt idx="1">
                  <c:v>499.5</c:v>
                </c:pt>
                <c:pt idx="2">
                  <c:v>173.875</c:v>
                </c:pt>
                <c:pt idx="3">
                  <c:v>356.31034482758599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E-4E44-AB78-23BD57695FDE}"/>
            </c:ext>
          </c:extLst>
        </c:ser>
        <c:ser>
          <c:idx val="1"/>
          <c:order val="1"/>
          <c:tx>
            <c:strRef>
              <c:f>Análise_25nósComSemEstabIntegGe!$I$61</c:f>
              <c:strCache>
                <c:ptCount val="1"/>
                <c:pt idx="0">
                  <c:v>COM Estab + Int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21734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Análise_25nósComSemEstabIntegGe!$G$62:$G$65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Análise_25nósComSemEstabIntegGe!$I$62:$I$65</c:f>
              <c:numCache>
                <c:formatCode>#,##0.0</c:formatCode>
                <c:ptCount val="4"/>
                <c:pt idx="0">
                  <c:v>324.88888888888903</c:v>
                </c:pt>
                <c:pt idx="1">
                  <c:v>517.16666666666697</c:v>
                </c:pt>
                <c:pt idx="2">
                  <c:v>91.625</c:v>
                </c:pt>
                <c:pt idx="3">
                  <c:v>340.10344827586198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E-4E44-AB78-23BD57695FDE}"/>
            </c:ext>
          </c:extLst>
        </c:ser>
        <c:ser>
          <c:idx val="2"/>
          <c:order val="2"/>
          <c:tx>
            <c:strRef>
              <c:f>Análise_25nósComSemEstabIntegGe!$J$61</c:f>
              <c:strCache>
                <c:ptCount val="1"/>
                <c:pt idx="0">
                  <c:v>SEM Estab + Geo</c:v>
                </c:pt>
              </c:strCache>
            </c:strRef>
          </c:tx>
          <c:spPr>
            <a:solidFill>
              <a:srgbClr val="843C0C"/>
            </a:solidFill>
            <a:ln w="9360">
              <a:solidFill>
                <a:srgbClr val="843C0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Análise_25nósComSemEstabIntegGe!$G$62:$G$65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Análise_25nósComSemEstabIntegGe!$J$62:$J$65</c:f>
              <c:numCache>
                <c:formatCode>#,##0.0</c:formatCode>
                <c:ptCount val="4"/>
                <c:pt idx="0">
                  <c:v>509.222222222222</c:v>
                </c:pt>
                <c:pt idx="1">
                  <c:v>717.58333333333303</c:v>
                </c:pt>
                <c:pt idx="2">
                  <c:v>285.375</c:v>
                </c:pt>
                <c:pt idx="3">
                  <c:v>533.68965517241395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EE-4E44-AB78-23BD57695FDE}"/>
            </c:ext>
          </c:extLst>
        </c:ser>
        <c:ser>
          <c:idx val="3"/>
          <c:order val="3"/>
          <c:tx>
            <c:strRef>
              <c:f>Análise_25nósComSemEstabIntegGe!$K$61</c:f>
              <c:strCache>
                <c:ptCount val="1"/>
                <c:pt idx="0">
                  <c:v>SEM Estab + Int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7030A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Análise_25nósComSemEstabIntegGe!$G$62:$G$65</c:f>
              <c:strCache>
                <c:ptCount val="4"/>
                <c:pt idx="0">
                  <c:v>C (9)</c:v>
                </c:pt>
                <c:pt idx="1">
                  <c:v>R (12)</c:v>
                </c:pt>
                <c:pt idx="2">
                  <c:v>RC (8)</c:v>
                </c:pt>
                <c:pt idx="3">
                  <c:v>Geral (29)</c:v>
                </c:pt>
              </c:strCache>
            </c:strRef>
          </c:cat>
          <c:val>
            <c:numRef>
              <c:f>Análise_25nósComSemEstabIntegGe!$K$62:$K$65</c:f>
              <c:numCache>
                <c:formatCode>#,##0.0</c:formatCode>
                <c:ptCount val="4"/>
                <c:pt idx="0">
                  <c:v>640.11111111111097</c:v>
                </c:pt>
                <c:pt idx="1">
                  <c:v>719.58333333333303</c:v>
                </c:pt>
                <c:pt idx="2">
                  <c:v>143</c:v>
                </c:pt>
                <c:pt idx="3">
                  <c:v>535.86206896551698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EE-4E44-AB78-23BD57695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06918"/>
        <c:axId val="71386050"/>
      </c:barChart>
      <c:catAx>
        <c:axId val="39206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1386050"/>
        <c:crosses val="autoZero"/>
        <c:auto val="1"/>
        <c:lblAlgn val="ctr"/>
        <c:lblOffset val="100"/>
        <c:noMultiLvlLbl val="0"/>
      </c:catAx>
      <c:valAx>
        <c:axId val="71386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Colunas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9206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752475</xdr:colOff>
      <xdr:row>28</xdr:row>
      <xdr:rowOff>85725</xdr:rowOff>
    </xdr:from>
    <xdr:to>
      <xdr:col>28</xdr:col>
      <xdr:colOff>63600</xdr:colOff>
      <xdr:row>51</xdr:row>
      <xdr:rowOff>199455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0EEF3-B3C9-4D5B-8821-5CE9AAD78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561975</xdr:colOff>
      <xdr:row>75</xdr:row>
      <xdr:rowOff>161925</xdr:rowOff>
    </xdr:from>
    <xdr:to>
      <xdr:col>23</xdr:col>
      <xdr:colOff>488476</xdr:colOff>
      <xdr:row>93</xdr:row>
      <xdr:rowOff>168570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6CD723-708A-4CAD-9103-725B7856C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238125</xdr:colOff>
      <xdr:row>57</xdr:row>
      <xdr:rowOff>76200</xdr:rowOff>
    </xdr:from>
    <xdr:to>
      <xdr:col>30</xdr:col>
      <xdr:colOff>370830</xdr:colOff>
      <xdr:row>75</xdr:row>
      <xdr:rowOff>63795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C0DC1A-3955-4B33-861A-6CDCBAD29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C819-01D9-478D-B101-D49CCB90CD85}">
  <sheetPr codeName="Planilha4"/>
  <dimension ref="A1:AX117"/>
  <sheetViews>
    <sheetView topLeftCell="I1" zoomScaleNormal="100" workbookViewId="0">
      <pane ySplit="1" topLeftCell="A2" activePane="bottomLeft" state="frozen"/>
      <selection pane="bottomLeft" activeCell="N4" sqref="N4"/>
    </sheetView>
  </sheetViews>
  <sheetFormatPr defaultRowHeight="14.4" x14ac:dyDescent="0.3"/>
  <cols>
    <col min="1" max="1" width="33.21875" customWidth="1"/>
    <col min="2" max="2" width="17.88671875" bestFit="1" customWidth="1"/>
    <col min="3" max="10" width="9" bestFit="1" customWidth="1"/>
    <col min="12" max="12" width="9" bestFit="1" customWidth="1"/>
    <col min="13" max="13" width="20.33203125" customWidth="1"/>
    <col min="14" max="15" width="9" bestFit="1" customWidth="1"/>
    <col min="16" max="16" width="9" style="1" bestFit="1" customWidth="1"/>
    <col min="17" max="19" width="9" bestFit="1" customWidth="1"/>
    <col min="22" max="22" width="19.21875" bestFit="1" customWidth="1"/>
    <col min="23" max="23" width="40.44140625" bestFit="1" customWidth="1"/>
    <col min="24" max="25" width="9" bestFit="1" customWidth="1"/>
    <col min="27" max="27" width="9" bestFit="1" customWidth="1"/>
    <col min="29" max="29" width="9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32" x14ac:dyDescent="0.3">
      <c r="A2" t="s">
        <v>22</v>
      </c>
      <c r="B2" t="s">
        <v>23</v>
      </c>
      <c r="C2">
        <v>0</v>
      </c>
      <c r="D2">
        <v>0</v>
      </c>
      <c r="E2">
        <v>0</v>
      </c>
      <c r="F2">
        <v>25</v>
      </c>
      <c r="G2">
        <v>27</v>
      </c>
      <c r="H2">
        <v>8</v>
      </c>
      <c r="I2">
        <v>200</v>
      </c>
      <c r="J2">
        <v>0</v>
      </c>
      <c r="K2" t="s">
        <v>24</v>
      </c>
      <c r="L2">
        <v>0.76419999999999999</v>
      </c>
      <c r="M2">
        <v>67.948899999999995</v>
      </c>
      <c r="N2">
        <v>618.32989999999995</v>
      </c>
      <c r="O2">
        <v>618.32989999999995</v>
      </c>
      <c r="P2" s="1">
        <f>(O2-N2)/O2</f>
        <v>0</v>
      </c>
      <c r="Q2">
        <v>1</v>
      </c>
      <c r="R2">
        <v>1</v>
      </c>
      <c r="S2">
        <v>872</v>
      </c>
      <c r="T2" t="s">
        <v>25</v>
      </c>
      <c r="U2" t="s">
        <v>26</v>
      </c>
      <c r="V2" s="2">
        <v>46108.865972222222</v>
      </c>
      <c r="X2" t="s">
        <v>27</v>
      </c>
      <c r="Y2" t="s">
        <v>28</v>
      </c>
    </row>
    <row r="3" spans="1:32" x14ac:dyDescent="0.3">
      <c r="A3" t="s">
        <v>29</v>
      </c>
      <c r="B3" t="s">
        <v>23</v>
      </c>
      <c r="C3">
        <v>0</v>
      </c>
      <c r="D3">
        <v>0</v>
      </c>
      <c r="E3">
        <v>1</v>
      </c>
      <c r="F3">
        <v>25</v>
      </c>
      <c r="G3">
        <v>27</v>
      </c>
      <c r="H3">
        <v>8</v>
      </c>
      <c r="I3">
        <v>200</v>
      </c>
      <c r="J3">
        <v>0</v>
      </c>
      <c r="K3" t="s">
        <v>24</v>
      </c>
      <c r="L3">
        <v>0.76419999999999999</v>
      </c>
      <c r="M3">
        <v>20.212499999999999</v>
      </c>
      <c r="N3">
        <v>618.32989999999995</v>
      </c>
      <c r="O3">
        <v>618.32989999999995</v>
      </c>
      <c r="P3" s="1">
        <f t="shared" ref="P3:P66" si="0">(O3-N3)/O3</f>
        <v>0</v>
      </c>
      <c r="Q3">
        <v>1</v>
      </c>
      <c r="R3">
        <v>1</v>
      </c>
      <c r="S3">
        <v>992</v>
      </c>
      <c r="T3" t="s">
        <v>25</v>
      </c>
      <c r="U3" t="s">
        <v>30</v>
      </c>
      <c r="V3" s="2">
        <v>46108.865972222222</v>
      </c>
      <c r="X3" t="s">
        <v>31</v>
      </c>
      <c r="Y3" t="s">
        <v>32</v>
      </c>
      <c r="Z3" t="s">
        <v>33</v>
      </c>
      <c r="AA3" t="s">
        <v>34</v>
      </c>
      <c r="AB3" t="s">
        <v>33</v>
      </c>
      <c r="AC3" t="s">
        <v>35</v>
      </c>
      <c r="AD3" s="3"/>
      <c r="AF3" t="s">
        <v>411</v>
      </c>
    </row>
    <row r="4" spans="1:32" x14ac:dyDescent="0.3">
      <c r="A4" t="s">
        <v>36</v>
      </c>
      <c r="B4" t="s">
        <v>23</v>
      </c>
      <c r="C4">
        <v>0</v>
      </c>
      <c r="D4">
        <v>0</v>
      </c>
      <c r="E4">
        <v>2</v>
      </c>
      <c r="F4">
        <v>25</v>
      </c>
      <c r="G4">
        <v>27</v>
      </c>
      <c r="H4">
        <v>8</v>
      </c>
      <c r="I4">
        <v>200</v>
      </c>
      <c r="J4">
        <v>0</v>
      </c>
      <c r="K4" t="s">
        <v>24</v>
      </c>
      <c r="L4">
        <v>0.76419999999999999</v>
      </c>
      <c r="M4">
        <v>23.310600000000001</v>
      </c>
      <c r="N4">
        <v>618.32989999999995</v>
      </c>
      <c r="O4">
        <v>618.32989999999995</v>
      </c>
      <c r="P4" s="1">
        <f t="shared" si="0"/>
        <v>0</v>
      </c>
      <c r="Q4">
        <v>1</v>
      </c>
      <c r="R4">
        <v>1</v>
      </c>
      <c r="S4">
        <v>1208</v>
      </c>
      <c r="T4" t="s">
        <v>25</v>
      </c>
      <c r="U4" t="s">
        <v>37</v>
      </c>
      <c r="V4" s="2">
        <v>46108.865972222222</v>
      </c>
      <c r="X4">
        <v>0</v>
      </c>
      <c r="Y4" s="3">
        <f>_xlfn.MAXIFS($P:$P,$E:$E,X4)</f>
        <v>8.8832764181369719E-2</v>
      </c>
      <c r="Z4" t="s">
        <v>38</v>
      </c>
      <c r="AA4">
        <f>_xlfn.MINIFS($P:$P,$E:$E,X4)</f>
        <v>0</v>
      </c>
      <c r="AB4" t="s">
        <v>23</v>
      </c>
      <c r="AC4" s="3">
        <f>AVERAGEIFS($P:$P,$E:$E,X4)</f>
        <v>1.8098658289843247E-2</v>
      </c>
      <c r="AD4" s="3"/>
    </row>
    <row r="5" spans="1:32" x14ac:dyDescent="0.3">
      <c r="A5" t="s">
        <v>39</v>
      </c>
      <c r="B5" t="s">
        <v>23</v>
      </c>
      <c r="C5">
        <v>0</v>
      </c>
      <c r="D5">
        <v>0</v>
      </c>
      <c r="E5">
        <v>3</v>
      </c>
      <c r="F5">
        <v>25</v>
      </c>
      <c r="G5">
        <v>27</v>
      </c>
      <c r="H5">
        <v>8</v>
      </c>
      <c r="I5">
        <v>200</v>
      </c>
      <c r="J5">
        <v>0</v>
      </c>
      <c r="K5" t="s">
        <v>24</v>
      </c>
      <c r="L5">
        <v>0.76419999999999999</v>
      </c>
      <c r="M5">
        <v>2.2683</v>
      </c>
      <c r="N5">
        <v>618.32989999999995</v>
      </c>
      <c r="O5">
        <v>630.38040000000001</v>
      </c>
      <c r="P5" s="1">
        <f t="shared" si="0"/>
        <v>1.9116235212896938E-2</v>
      </c>
      <c r="Q5">
        <v>0</v>
      </c>
      <c r="R5">
        <v>1</v>
      </c>
      <c r="S5">
        <v>952</v>
      </c>
      <c r="T5" t="s">
        <v>25</v>
      </c>
      <c r="U5" t="s">
        <v>40</v>
      </c>
      <c r="V5" s="2">
        <v>46108.865972222222</v>
      </c>
      <c r="W5" t="s">
        <v>41</v>
      </c>
      <c r="X5">
        <v>1</v>
      </c>
      <c r="Y5" s="3">
        <f t="shared" ref="Y5:Y10" si="1">_xlfn.MAXIFS($P:$P,$E:$E,X5)</f>
        <v>0.15056296525564783</v>
      </c>
      <c r="Z5" t="s">
        <v>38</v>
      </c>
      <c r="AA5">
        <f t="shared" ref="AA5:AA10" si="2">_xlfn.MINIFS($P:$P,$E:$E,X5)</f>
        <v>0</v>
      </c>
      <c r="AB5" t="s">
        <v>23</v>
      </c>
      <c r="AC5" s="3">
        <f t="shared" ref="AC5:AC10" si="3">AVERAGEIFS($P:$P,$E:$E,X5)</f>
        <v>1.8266750775630725E-2</v>
      </c>
      <c r="AD5" s="3"/>
    </row>
    <row r="6" spans="1:32" x14ac:dyDescent="0.3">
      <c r="A6" t="s">
        <v>42</v>
      </c>
      <c r="B6" t="s">
        <v>23</v>
      </c>
      <c r="C6">
        <v>0</v>
      </c>
      <c r="D6">
        <v>0</v>
      </c>
      <c r="E6">
        <v>22</v>
      </c>
      <c r="F6">
        <v>25</v>
      </c>
      <c r="G6">
        <v>27</v>
      </c>
      <c r="H6">
        <v>8</v>
      </c>
      <c r="I6">
        <v>200</v>
      </c>
      <c r="J6">
        <v>0</v>
      </c>
      <c r="K6" t="s">
        <v>24</v>
      </c>
      <c r="L6">
        <v>0.76419999999999999</v>
      </c>
      <c r="M6">
        <v>99.904700000000005</v>
      </c>
      <c r="N6">
        <v>618.32989999999995</v>
      </c>
      <c r="O6">
        <v>618.32989999999995</v>
      </c>
      <c r="P6" s="1">
        <f t="shared" si="0"/>
        <v>0</v>
      </c>
      <c r="Q6">
        <v>1</v>
      </c>
      <c r="R6">
        <v>1</v>
      </c>
      <c r="S6">
        <v>480</v>
      </c>
      <c r="T6" t="s">
        <v>25</v>
      </c>
      <c r="U6" t="s">
        <v>43</v>
      </c>
      <c r="V6" s="2">
        <v>46108.867361111108</v>
      </c>
      <c r="W6" t="s">
        <v>44</v>
      </c>
      <c r="X6">
        <v>2</v>
      </c>
      <c r="Y6" s="3">
        <f t="shared" si="1"/>
        <v>4.7165122211912852E-2</v>
      </c>
      <c r="Z6" t="s">
        <v>38</v>
      </c>
      <c r="AA6">
        <f t="shared" si="2"/>
        <v>0</v>
      </c>
      <c r="AB6" t="s">
        <v>23</v>
      </c>
      <c r="AC6" s="3">
        <f t="shared" si="3"/>
        <v>6.9774029129307637E-3</v>
      </c>
      <c r="AD6" s="3"/>
    </row>
    <row r="7" spans="1:32" x14ac:dyDescent="0.3">
      <c r="A7" t="s">
        <v>22</v>
      </c>
      <c r="B7" t="s">
        <v>45</v>
      </c>
      <c r="C7">
        <v>0</v>
      </c>
      <c r="D7">
        <v>0</v>
      </c>
      <c r="E7">
        <v>0</v>
      </c>
      <c r="F7">
        <v>25</v>
      </c>
      <c r="G7">
        <v>27</v>
      </c>
      <c r="H7">
        <v>7</v>
      </c>
      <c r="I7">
        <v>200</v>
      </c>
      <c r="J7">
        <v>0</v>
      </c>
      <c r="K7" t="s">
        <v>24</v>
      </c>
      <c r="L7">
        <v>1201.1007999999999</v>
      </c>
      <c r="M7">
        <v>2666.8413999999998</v>
      </c>
      <c r="N7">
        <v>548.1078</v>
      </c>
      <c r="O7">
        <v>548.1078</v>
      </c>
      <c r="P7" s="1">
        <f t="shared" si="0"/>
        <v>0</v>
      </c>
      <c r="Q7">
        <v>1</v>
      </c>
      <c r="R7">
        <v>713</v>
      </c>
      <c r="S7">
        <v>2793</v>
      </c>
      <c r="T7" t="s">
        <v>46</v>
      </c>
      <c r="U7" t="s">
        <v>47</v>
      </c>
      <c r="V7" s="2">
        <v>46108.912499999999</v>
      </c>
      <c r="W7" t="s">
        <v>48</v>
      </c>
      <c r="X7">
        <v>3</v>
      </c>
      <c r="Y7" s="3">
        <f t="shared" si="1"/>
        <v>7.7869239483573091E-2</v>
      </c>
      <c r="Z7" t="s">
        <v>49</v>
      </c>
      <c r="AA7">
        <f t="shared" si="2"/>
        <v>0</v>
      </c>
      <c r="AB7" t="s">
        <v>23</v>
      </c>
      <c r="AC7" s="3">
        <f>AVERAGEIFS($P:$P,$E:$E,X7)</f>
        <v>3.4711421831988179E-2</v>
      </c>
      <c r="AD7" s="3"/>
    </row>
    <row r="8" spans="1:32" x14ac:dyDescent="0.3">
      <c r="A8" t="s">
        <v>29</v>
      </c>
      <c r="B8" t="s">
        <v>45</v>
      </c>
      <c r="C8">
        <v>0</v>
      </c>
      <c r="D8">
        <v>0</v>
      </c>
      <c r="E8">
        <v>1</v>
      </c>
      <c r="F8">
        <v>25</v>
      </c>
      <c r="G8">
        <v>27</v>
      </c>
      <c r="H8">
        <v>7</v>
      </c>
      <c r="I8">
        <v>200</v>
      </c>
      <c r="J8">
        <v>0</v>
      </c>
      <c r="K8" t="s">
        <v>24</v>
      </c>
      <c r="L8">
        <v>1201.1007999999999</v>
      </c>
      <c r="M8">
        <v>2980.3445000000002</v>
      </c>
      <c r="N8">
        <v>548.1078</v>
      </c>
      <c r="O8">
        <v>548.1078</v>
      </c>
      <c r="P8" s="1">
        <f t="shared" si="0"/>
        <v>0</v>
      </c>
      <c r="Q8">
        <v>1</v>
      </c>
      <c r="R8">
        <v>2017</v>
      </c>
      <c r="S8">
        <v>2289</v>
      </c>
      <c r="T8" t="s">
        <v>46</v>
      </c>
      <c r="U8" t="s">
        <v>50</v>
      </c>
      <c r="V8" s="2">
        <v>46108.946527777778</v>
      </c>
      <c r="W8" t="s">
        <v>51</v>
      </c>
      <c r="X8">
        <v>22</v>
      </c>
      <c r="Y8" s="3">
        <f t="shared" si="1"/>
        <v>0.20591350592818206</v>
      </c>
      <c r="Z8" t="s">
        <v>45</v>
      </c>
      <c r="AA8">
        <f t="shared" si="2"/>
        <v>0</v>
      </c>
      <c r="AB8" t="s">
        <v>23</v>
      </c>
      <c r="AC8" s="3">
        <f t="shared" si="3"/>
        <v>2.3692187291019361E-2</v>
      </c>
      <c r="AD8" s="3"/>
    </row>
    <row r="9" spans="1:32" x14ac:dyDescent="0.3">
      <c r="A9" t="s">
        <v>36</v>
      </c>
      <c r="B9" t="s">
        <v>45</v>
      </c>
      <c r="C9">
        <v>0</v>
      </c>
      <c r="D9">
        <v>0</v>
      </c>
      <c r="E9">
        <v>2</v>
      </c>
      <c r="F9">
        <v>25</v>
      </c>
      <c r="G9">
        <v>27</v>
      </c>
      <c r="H9">
        <v>7</v>
      </c>
      <c r="I9">
        <v>200</v>
      </c>
      <c r="J9">
        <v>0</v>
      </c>
      <c r="K9" t="s">
        <v>24</v>
      </c>
      <c r="L9">
        <v>1201.1007999999999</v>
      </c>
      <c r="M9">
        <v>2381.7851999999998</v>
      </c>
      <c r="N9">
        <v>548.1078</v>
      </c>
      <c r="O9">
        <v>548.1078</v>
      </c>
      <c r="P9" s="1">
        <f t="shared" si="0"/>
        <v>0</v>
      </c>
      <c r="Q9">
        <v>1</v>
      </c>
      <c r="R9">
        <v>1435</v>
      </c>
      <c r="S9">
        <v>2268</v>
      </c>
      <c r="T9" t="s">
        <v>46</v>
      </c>
      <c r="U9" t="s">
        <v>52</v>
      </c>
      <c r="V9" s="2">
        <v>46108.974305555559</v>
      </c>
      <c r="W9" t="s">
        <v>53</v>
      </c>
      <c r="X9">
        <v>10</v>
      </c>
      <c r="Y9" s="3">
        <f t="shared" si="1"/>
        <v>3.2710523091011946E-2</v>
      </c>
      <c r="Z9" t="s">
        <v>54</v>
      </c>
      <c r="AA9">
        <f t="shared" si="2"/>
        <v>0</v>
      </c>
      <c r="AB9" t="s">
        <v>23</v>
      </c>
      <c r="AC9" s="3">
        <f t="shared" si="3"/>
        <v>2.9262166374702157E-3</v>
      </c>
      <c r="AD9" s="3"/>
    </row>
    <row r="10" spans="1:32" x14ac:dyDescent="0.3">
      <c r="A10" t="s">
        <v>39</v>
      </c>
      <c r="B10" t="s">
        <v>45</v>
      </c>
      <c r="C10">
        <v>0</v>
      </c>
      <c r="D10">
        <v>0</v>
      </c>
      <c r="E10">
        <v>3</v>
      </c>
      <c r="F10">
        <v>25</v>
      </c>
      <c r="G10">
        <v>27</v>
      </c>
      <c r="H10">
        <v>7</v>
      </c>
      <c r="I10">
        <v>200</v>
      </c>
      <c r="J10">
        <v>0</v>
      </c>
      <c r="K10" t="s">
        <v>24</v>
      </c>
      <c r="L10">
        <v>1201.1007999999999</v>
      </c>
      <c r="M10">
        <v>106.3065</v>
      </c>
      <c r="N10">
        <v>548.1078</v>
      </c>
      <c r="O10">
        <v>551.62199999999996</v>
      </c>
      <c r="P10" s="1">
        <f t="shared" si="0"/>
        <v>6.3706668697041816E-3</v>
      </c>
      <c r="Q10">
        <v>0</v>
      </c>
      <c r="R10">
        <v>211</v>
      </c>
      <c r="S10">
        <v>2485</v>
      </c>
      <c r="T10" t="s">
        <v>46</v>
      </c>
      <c r="U10" t="s">
        <v>55</v>
      </c>
      <c r="V10" s="2">
        <v>46108.975694444445</v>
      </c>
      <c r="W10" t="s">
        <v>345</v>
      </c>
      <c r="X10">
        <v>33</v>
      </c>
      <c r="Y10" s="3">
        <f t="shared" si="1"/>
        <v>0</v>
      </c>
      <c r="AA10">
        <f t="shared" si="2"/>
        <v>0</v>
      </c>
      <c r="AC10" s="3">
        <f t="shared" si="3"/>
        <v>0</v>
      </c>
      <c r="AD10" s="3"/>
    </row>
    <row r="11" spans="1:32" x14ac:dyDescent="0.3">
      <c r="A11" t="s">
        <v>42</v>
      </c>
      <c r="B11" t="s">
        <v>45</v>
      </c>
      <c r="C11">
        <v>0</v>
      </c>
      <c r="D11">
        <v>0</v>
      </c>
      <c r="E11">
        <v>22</v>
      </c>
      <c r="F11">
        <v>25</v>
      </c>
      <c r="G11">
        <v>27</v>
      </c>
      <c r="H11">
        <v>7</v>
      </c>
      <c r="I11">
        <v>200</v>
      </c>
      <c r="J11">
        <v>0</v>
      </c>
      <c r="K11" t="s">
        <v>24</v>
      </c>
      <c r="L11">
        <v>1201.1007999999999</v>
      </c>
      <c r="M11">
        <v>3600.2435999999998</v>
      </c>
      <c r="N11">
        <v>548.1078</v>
      </c>
      <c r="O11">
        <v>690.23689999999999</v>
      </c>
      <c r="P11" s="1">
        <f t="shared" si="0"/>
        <v>0.20591350592818206</v>
      </c>
      <c r="Q11">
        <v>0</v>
      </c>
      <c r="R11">
        <v>1878</v>
      </c>
      <c r="S11">
        <v>714</v>
      </c>
      <c r="T11" t="s">
        <v>46</v>
      </c>
      <c r="U11" t="s">
        <v>56</v>
      </c>
      <c r="V11" s="2">
        <v>46109.017361111109</v>
      </c>
      <c r="AD11" s="3"/>
    </row>
    <row r="12" spans="1:32" x14ac:dyDescent="0.3">
      <c r="A12" t="s">
        <v>22</v>
      </c>
      <c r="B12" t="s">
        <v>57</v>
      </c>
      <c r="C12">
        <v>0</v>
      </c>
      <c r="D12">
        <v>0</v>
      </c>
      <c r="E12">
        <v>0</v>
      </c>
      <c r="F12">
        <v>25</v>
      </c>
      <c r="G12">
        <v>27</v>
      </c>
      <c r="H12">
        <v>5</v>
      </c>
      <c r="I12">
        <v>200</v>
      </c>
      <c r="J12">
        <v>0</v>
      </c>
      <c r="K12" t="s">
        <v>24</v>
      </c>
      <c r="L12">
        <v>1201.3643</v>
      </c>
      <c r="M12">
        <v>142.071</v>
      </c>
      <c r="N12">
        <f>N14</f>
        <v>454.6</v>
      </c>
      <c r="O12">
        <v>455.69819999999999</v>
      </c>
      <c r="P12" s="1">
        <f t="shared" si="0"/>
        <v>2.4099283253696483E-3</v>
      </c>
      <c r="Q12">
        <v>0</v>
      </c>
      <c r="R12">
        <v>1</v>
      </c>
      <c r="S12">
        <v>1375</v>
      </c>
      <c r="T12" t="s">
        <v>58</v>
      </c>
      <c r="U12" t="s">
        <v>59</v>
      </c>
      <c r="V12" s="2">
        <v>46109.032638888886</v>
      </c>
      <c r="X12" t="s">
        <v>27</v>
      </c>
      <c r="Y12" t="s">
        <v>60</v>
      </c>
    </row>
    <row r="13" spans="1:32" x14ac:dyDescent="0.3">
      <c r="A13" t="s">
        <v>29</v>
      </c>
      <c r="B13" t="s">
        <v>57</v>
      </c>
      <c r="C13">
        <v>0</v>
      </c>
      <c r="D13">
        <v>0</v>
      </c>
      <c r="E13">
        <v>1</v>
      </c>
      <c r="F13">
        <v>25</v>
      </c>
      <c r="G13">
        <v>27</v>
      </c>
      <c r="H13">
        <v>5</v>
      </c>
      <c r="I13">
        <v>200</v>
      </c>
      <c r="J13">
        <v>0</v>
      </c>
      <c r="K13" t="s">
        <v>24</v>
      </c>
      <c r="L13">
        <v>1201.3643</v>
      </c>
      <c r="M13">
        <v>109.9558</v>
      </c>
      <c r="N13">
        <f>N14</f>
        <v>454.6</v>
      </c>
      <c r="O13">
        <v>455.69819999999999</v>
      </c>
      <c r="P13" s="1">
        <f t="shared" si="0"/>
        <v>2.4099283253696483E-3</v>
      </c>
      <c r="Q13">
        <v>0</v>
      </c>
      <c r="R13">
        <v>1</v>
      </c>
      <c r="S13">
        <v>1450</v>
      </c>
      <c r="T13" t="s">
        <v>58</v>
      </c>
      <c r="U13" t="s">
        <v>61</v>
      </c>
      <c r="V13" s="2">
        <v>46109.03402777778</v>
      </c>
      <c r="X13" t="s">
        <v>31</v>
      </c>
      <c r="Y13" t="s">
        <v>32</v>
      </c>
      <c r="Z13" t="s">
        <v>33</v>
      </c>
      <c r="AA13" t="s">
        <v>34</v>
      </c>
      <c r="AB13" t="s">
        <v>33</v>
      </c>
      <c r="AC13" t="s">
        <v>35</v>
      </c>
    </row>
    <row r="14" spans="1:32" x14ac:dyDescent="0.3">
      <c r="A14" t="s">
        <v>36</v>
      </c>
      <c r="B14" t="s">
        <v>57</v>
      </c>
      <c r="C14">
        <v>0</v>
      </c>
      <c r="D14">
        <v>0</v>
      </c>
      <c r="E14">
        <v>2</v>
      </c>
      <c r="F14">
        <v>25</v>
      </c>
      <c r="G14">
        <v>27</v>
      </c>
      <c r="H14">
        <v>5</v>
      </c>
      <c r="I14">
        <v>200</v>
      </c>
      <c r="J14">
        <v>0</v>
      </c>
      <c r="K14" t="s">
        <v>24</v>
      </c>
      <c r="L14">
        <v>1201.3643</v>
      </c>
      <c r="M14">
        <v>111.53740000000001</v>
      </c>
      <c r="N14">
        <f>N15</f>
        <v>454.6</v>
      </c>
      <c r="O14">
        <v>455.69819999999999</v>
      </c>
      <c r="P14" s="1">
        <f t="shared" si="0"/>
        <v>2.4099283253696483E-3</v>
      </c>
      <c r="Q14">
        <v>0</v>
      </c>
      <c r="R14">
        <v>1</v>
      </c>
      <c r="S14">
        <v>1380</v>
      </c>
      <c r="T14" t="s">
        <v>58</v>
      </c>
      <c r="U14" t="s">
        <v>62</v>
      </c>
      <c r="V14" s="2">
        <v>46109.035416666666</v>
      </c>
      <c r="X14">
        <v>0</v>
      </c>
      <c r="Y14">
        <f>_xlfn.MAXIFS($M:$M,$E:$E,X14)</f>
        <v>3999.3000999999999</v>
      </c>
      <c r="Z14" t="s">
        <v>38</v>
      </c>
      <c r="AA14">
        <f>_xlfn.MINIFS($M:$M,$E:$E,X14)</f>
        <v>67.948899999999995</v>
      </c>
      <c r="AC14">
        <f>AVERAGEIFS($M:$M,$E:$E,X14)</f>
        <v>1577.3655799999999</v>
      </c>
    </row>
    <row r="15" spans="1:32" x14ac:dyDescent="0.3">
      <c r="A15" t="s">
        <v>39</v>
      </c>
      <c r="B15" t="s">
        <v>57</v>
      </c>
      <c r="C15">
        <v>0</v>
      </c>
      <c r="D15">
        <v>0</v>
      </c>
      <c r="E15">
        <v>3</v>
      </c>
      <c r="F15">
        <v>25</v>
      </c>
      <c r="G15">
        <v>27</v>
      </c>
      <c r="H15">
        <v>5</v>
      </c>
      <c r="I15">
        <v>200</v>
      </c>
      <c r="J15">
        <v>0</v>
      </c>
      <c r="K15" t="s">
        <v>24</v>
      </c>
      <c r="L15">
        <v>1201.3643</v>
      </c>
      <c r="M15">
        <v>164.38319999999999</v>
      </c>
      <c r="N15">
        <f>N16</f>
        <v>454.6</v>
      </c>
      <c r="O15">
        <v>468.1968</v>
      </c>
      <c r="P15" s="1">
        <f t="shared" si="0"/>
        <v>2.9040779432922166E-2</v>
      </c>
      <c r="Q15">
        <v>0</v>
      </c>
      <c r="R15">
        <v>379</v>
      </c>
      <c r="S15">
        <v>2445</v>
      </c>
      <c r="T15" t="s">
        <v>58</v>
      </c>
      <c r="U15" t="s">
        <v>63</v>
      </c>
      <c r="V15" s="2">
        <v>46109.037499999999</v>
      </c>
      <c r="W15" t="s">
        <v>41</v>
      </c>
      <c r="X15">
        <v>1</v>
      </c>
      <c r="Y15">
        <f t="shared" ref="Y15:Y20" si="4">_xlfn.MAXIFS($M:$M,$E:$E,X15)</f>
        <v>3786.1477</v>
      </c>
      <c r="Z15" t="s">
        <v>64</v>
      </c>
      <c r="AA15">
        <f t="shared" ref="AA15:AA20" si="5">_xlfn.MINIFS($M:$M,$E:$E,X15)</f>
        <v>20.212499999999999</v>
      </c>
      <c r="AC15">
        <f t="shared" ref="AC15:AC20" si="6">AVERAGEIFS($M:$M,$E:$E,X15)</f>
        <v>1251.4237000000001</v>
      </c>
    </row>
    <row r="16" spans="1:32" x14ac:dyDescent="0.3">
      <c r="A16" t="s">
        <v>42</v>
      </c>
      <c r="B16" t="s">
        <v>57</v>
      </c>
      <c r="C16">
        <v>0</v>
      </c>
      <c r="D16">
        <v>0</v>
      </c>
      <c r="E16">
        <v>22</v>
      </c>
      <c r="F16">
        <v>25</v>
      </c>
      <c r="G16">
        <v>27</v>
      </c>
      <c r="H16">
        <v>5</v>
      </c>
      <c r="I16">
        <v>200</v>
      </c>
      <c r="J16">
        <v>0</v>
      </c>
      <c r="K16" t="s">
        <v>24</v>
      </c>
      <c r="L16">
        <v>1201.3643</v>
      </c>
      <c r="M16">
        <v>447.5025</v>
      </c>
      <c r="N16">
        <f>N88</f>
        <v>454.6</v>
      </c>
      <c r="O16">
        <v>455.69819999999999</v>
      </c>
      <c r="P16" s="1">
        <f t="shared" si="0"/>
        <v>2.4099283253696483E-3</v>
      </c>
      <c r="Q16">
        <v>0</v>
      </c>
      <c r="R16">
        <v>1</v>
      </c>
      <c r="S16">
        <v>645</v>
      </c>
      <c r="T16" t="s">
        <v>58</v>
      </c>
      <c r="U16" t="s">
        <v>65</v>
      </c>
      <c r="V16" s="2">
        <v>46109.042361111111</v>
      </c>
      <c r="W16" t="s">
        <v>44</v>
      </c>
      <c r="X16">
        <v>2</v>
      </c>
      <c r="Y16">
        <f t="shared" si="4"/>
        <v>4212.7161999999998</v>
      </c>
      <c r="Z16" t="s">
        <v>64</v>
      </c>
      <c r="AA16">
        <f t="shared" si="5"/>
        <v>23.310600000000001</v>
      </c>
      <c r="AC16">
        <f t="shared" si="6"/>
        <v>1214.44336</v>
      </c>
    </row>
    <row r="17" spans="1:29" x14ac:dyDescent="0.3">
      <c r="A17" t="s">
        <v>22</v>
      </c>
      <c r="B17" t="s">
        <v>66</v>
      </c>
      <c r="C17">
        <v>0</v>
      </c>
      <c r="D17">
        <v>0</v>
      </c>
      <c r="E17">
        <v>0</v>
      </c>
      <c r="F17">
        <v>25</v>
      </c>
      <c r="G17">
        <v>27</v>
      </c>
      <c r="H17">
        <v>4</v>
      </c>
      <c r="I17">
        <v>200</v>
      </c>
      <c r="J17">
        <v>0</v>
      </c>
      <c r="K17" t="s">
        <v>24</v>
      </c>
      <c r="L17">
        <v>1201.5134</v>
      </c>
      <c r="M17">
        <v>119.91160000000001</v>
      </c>
      <c r="N17">
        <f>N18</f>
        <v>416.9</v>
      </c>
      <c r="O17">
        <v>417.96120000000002</v>
      </c>
      <c r="P17" s="1">
        <f t="shared" si="0"/>
        <v>2.5389916575989401E-3</v>
      </c>
      <c r="Q17">
        <v>0</v>
      </c>
      <c r="R17">
        <v>1</v>
      </c>
      <c r="S17">
        <v>1040</v>
      </c>
      <c r="T17" t="s">
        <v>67</v>
      </c>
      <c r="U17" t="s">
        <v>68</v>
      </c>
      <c r="V17" s="2">
        <v>46109.057638888888</v>
      </c>
      <c r="W17" t="s">
        <v>48</v>
      </c>
      <c r="X17">
        <v>3</v>
      </c>
      <c r="Y17">
        <f t="shared" si="4"/>
        <v>3633.8024999999998</v>
      </c>
      <c r="Z17" t="s">
        <v>38</v>
      </c>
      <c r="AA17">
        <f t="shared" si="5"/>
        <v>2.2683</v>
      </c>
      <c r="AC17">
        <f t="shared" si="6"/>
        <v>814.73283333333325</v>
      </c>
    </row>
    <row r="18" spans="1:29" x14ac:dyDescent="0.3">
      <c r="A18" t="s">
        <v>29</v>
      </c>
      <c r="B18" t="s">
        <v>66</v>
      </c>
      <c r="C18">
        <v>0</v>
      </c>
      <c r="D18">
        <v>0</v>
      </c>
      <c r="E18">
        <v>1</v>
      </c>
      <c r="F18">
        <v>25</v>
      </c>
      <c r="G18">
        <v>27</v>
      </c>
      <c r="H18">
        <v>4</v>
      </c>
      <c r="I18">
        <v>200</v>
      </c>
      <c r="J18">
        <v>0</v>
      </c>
      <c r="K18" t="s">
        <v>24</v>
      </c>
      <c r="L18">
        <v>1201.5134</v>
      </c>
      <c r="M18">
        <v>150.0521</v>
      </c>
      <c r="N18">
        <f>N19</f>
        <v>416.9</v>
      </c>
      <c r="O18">
        <v>417.96120000000002</v>
      </c>
      <c r="P18" s="1">
        <f t="shared" si="0"/>
        <v>2.5389916575989401E-3</v>
      </c>
      <c r="Q18">
        <v>0</v>
      </c>
      <c r="R18">
        <v>15</v>
      </c>
      <c r="S18">
        <v>1752</v>
      </c>
      <c r="T18" t="s">
        <v>67</v>
      </c>
      <c r="U18" t="s">
        <v>69</v>
      </c>
      <c r="V18" s="2">
        <v>46109.05972222222</v>
      </c>
      <c r="W18" t="s">
        <v>51</v>
      </c>
      <c r="X18">
        <v>22</v>
      </c>
      <c r="Y18">
        <f t="shared" si="4"/>
        <v>4555</v>
      </c>
      <c r="Z18" t="s">
        <v>64</v>
      </c>
      <c r="AA18">
        <f t="shared" si="5"/>
        <v>99.904700000000005</v>
      </c>
      <c r="AC18">
        <f t="shared" si="6"/>
        <v>2195.5549066666667</v>
      </c>
    </row>
    <row r="19" spans="1:29" x14ac:dyDescent="0.3">
      <c r="A19" t="s">
        <v>36</v>
      </c>
      <c r="B19" t="s">
        <v>66</v>
      </c>
      <c r="C19">
        <v>0</v>
      </c>
      <c r="D19">
        <v>0</v>
      </c>
      <c r="E19">
        <v>2</v>
      </c>
      <c r="F19">
        <v>25</v>
      </c>
      <c r="G19">
        <v>27</v>
      </c>
      <c r="H19">
        <v>4</v>
      </c>
      <c r="I19">
        <v>200</v>
      </c>
      <c r="J19">
        <v>0</v>
      </c>
      <c r="K19" t="s">
        <v>24</v>
      </c>
      <c r="L19">
        <v>1201.5134</v>
      </c>
      <c r="M19">
        <v>86.701700000000002</v>
      </c>
      <c r="N19">
        <f>N20</f>
        <v>416.9</v>
      </c>
      <c r="O19">
        <v>417.96120000000002</v>
      </c>
      <c r="P19" s="1">
        <f t="shared" si="0"/>
        <v>2.5389916575989401E-3</v>
      </c>
      <c r="Q19">
        <v>0</v>
      </c>
      <c r="R19">
        <v>1</v>
      </c>
      <c r="S19">
        <v>1384</v>
      </c>
      <c r="T19" t="s">
        <v>67</v>
      </c>
      <c r="U19" t="s">
        <v>70</v>
      </c>
      <c r="V19" s="2">
        <v>46109.060416666667</v>
      </c>
      <c r="W19" t="s">
        <v>53</v>
      </c>
      <c r="X19">
        <v>10</v>
      </c>
      <c r="Y19">
        <f t="shared" si="4"/>
        <v>3346.43</v>
      </c>
      <c r="Z19" t="s">
        <v>71</v>
      </c>
      <c r="AA19">
        <f t="shared" si="5"/>
        <v>25.3171</v>
      </c>
      <c r="AC19">
        <f t="shared" si="6"/>
        <v>545.35545714285706</v>
      </c>
    </row>
    <row r="20" spans="1:29" x14ac:dyDescent="0.3">
      <c r="A20" t="s">
        <v>39</v>
      </c>
      <c r="B20" t="s">
        <v>66</v>
      </c>
      <c r="C20">
        <v>0</v>
      </c>
      <c r="D20">
        <v>0</v>
      </c>
      <c r="E20">
        <v>3</v>
      </c>
      <c r="F20">
        <v>25</v>
      </c>
      <c r="G20">
        <v>27</v>
      </c>
      <c r="H20">
        <v>4</v>
      </c>
      <c r="I20">
        <v>200</v>
      </c>
      <c r="J20">
        <v>0</v>
      </c>
      <c r="K20" t="s">
        <v>24</v>
      </c>
      <c r="L20">
        <v>1201.5134</v>
      </c>
      <c r="M20">
        <v>18.886500000000002</v>
      </c>
      <c r="N20">
        <f>N21</f>
        <v>416.9</v>
      </c>
      <c r="O20">
        <v>427.22129999999999</v>
      </c>
      <c r="P20" s="1">
        <f t="shared" si="0"/>
        <v>2.4159141877991591E-2</v>
      </c>
      <c r="Q20">
        <v>0</v>
      </c>
      <c r="R20">
        <v>1</v>
      </c>
      <c r="S20">
        <v>1744</v>
      </c>
      <c r="T20" t="s">
        <v>67</v>
      </c>
      <c r="U20" t="s">
        <v>72</v>
      </c>
      <c r="V20" s="2">
        <v>46109.060416666667</v>
      </c>
      <c r="W20" t="s">
        <v>345</v>
      </c>
      <c r="X20">
        <v>33</v>
      </c>
      <c r="Y20">
        <f t="shared" si="4"/>
        <v>4210.5146205425262</v>
      </c>
      <c r="AA20">
        <f t="shared" si="5"/>
        <v>16.68877029418945</v>
      </c>
      <c r="AC20">
        <f t="shared" si="6"/>
        <v>968.74467966556551</v>
      </c>
    </row>
    <row r="21" spans="1:29" x14ac:dyDescent="0.3">
      <c r="A21" t="s">
        <v>42</v>
      </c>
      <c r="B21" t="s">
        <v>66</v>
      </c>
      <c r="C21">
        <v>0</v>
      </c>
      <c r="D21">
        <v>0</v>
      </c>
      <c r="E21">
        <v>22</v>
      </c>
      <c r="F21">
        <v>25</v>
      </c>
      <c r="G21">
        <v>27</v>
      </c>
      <c r="H21">
        <v>4</v>
      </c>
      <c r="I21">
        <v>200</v>
      </c>
      <c r="J21">
        <v>0</v>
      </c>
      <c r="K21" t="s">
        <v>24</v>
      </c>
      <c r="L21">
        <v>1201.5134</v>
      </c>
      <c r="M21">
        <v>392.80579999999998</v>
      </c>
      <c r="N21">
        <f>N89</f>
        <v>416.9</v>
      </c>
      <c r="O21">
        <v>420.63339999999999</v>
      </c>
      <c r="P21" s="1">
        <f t="shared" si="0"/>
        <v>8.8756622750357384E-3</v>
      </c>
      <c r="Q21">
        <v>0</v>
      </c>
      <c r="R21">
        <v>1</v>
      </c>
      <c r="S21">
        <v>500</v>
      </c>
      <c r="T21" t="s">
        <v>67</v>
      </c>
      <c r="U21" t="s">
        <v>73</v>
      </c>
      <c r="V21" s="2">
        <v>46109.06527777778</v>
      </c>
    </row>
    <row r="22" spans="1:29" x14ac:dyDescent="0.3">
      <c r="A22" t="s">
        <v>22</v>
      </c>
      <c r="B22" t="s">
        <v>74</v>
      </c>
      <c r="C22">
        <v>0</v>
      </c>
      <c r="D22">
        <v>0</v>
      </c>
      <c r="E22">
        <v>0</v>
      </c>
      <c r="F22">
        <v>25</v>
      </c>
      <c r="G22">
        <v>27</v>
      </c>
      <c r="H22">
        <v>6</v>
      </c>
      <c r="I22">
        <v>200</v>
      </c>
      <c r="J22">
        <v>0</v>
      </c>
      <c r="K22" t="s">
        <v>24</v>
      </c>
      <c r="L22">
        <v>17.8249</v>
      </c>
      <c r="M22">
        <v>90.908100000000005</v>
      </c>
      <c r="N22">
        <f>N23</f>
        <v>530.50000000000011</v>
      </c>
      <c r="O22">
        <v>531.53859999999997</v>
      </c>
      <c r="P22" s="1">
        <f t="shared" si="0"/>
        <v>1.9539502869591416E-3</v>
      </c>
      <c r="Q22">
        <v>1</v>
      </c>
      <c r="R22">
        <v>1</v>
      </c>
      <c r="S22">
        <v>828</v>
      </c>
      <c r="T22" t="s">
        <v>75</v>
      </c>
      <c r="U22" t="s">
        <v>76</v>
      </c>
      <c r="V22" s="2">
        <v>46109.066666666666</v>
      </c>
    </row>
    <row r="23" spans="1:29" x14ac:dyDescent="0.3">
      <c r="A23" t="s">
        <v>29</v>
      </c>
      <c r="B23" t="s">
        <v>74</v>
      </c>
      <c r="C23">
        <v>0</v>
      </c>
      <c r="D23">
        <v>0</v>
      </c>
      <c r="E23">
        <v>1</v>
      </c>
      <c r="F23">
        <v>25</v>
      </c>
      <c r="G23">
        <v>27</v>
      </c>
      <c r="H23">
        <v>6</v>
      </c>
      <c r="I23">
        <v>200</v>
      </c>
      <c r="J23">
        <v>0</v>
      </c>
      <c r="K23" t="s">
        <v>24</v>
      </c>
      <c r="L23">
        <v>17.8249</v>
      </c>
      <c r="M23">
        <v>56.1524</v>
      </c>
      <c r="N23">
        <f>N24</f>
        <v>530.50000000000011</v>
      </c>
      <c r="O23">
        <v>531.53859999999997</v>
      </c>
      <c r="P23" s="1">
        <f t="shared" si="0"/>
        <v>1.9539502869591416E-3</v>
      </c>
      <c r="Q23">
        <v>1</v>
      </c>
      <c r="R23">
        <v>1</v>
      </c>
      <c r="S23">
        <v>1134</v>
      </c>
      <c r="T23" t="s">
        <v>75</v>
      </c>
      <c r="U23" t="s">
        <v>77</v>
      </c>
      <c r="V23" s="2">
        <v>46109.067361111112</v>
      </c>
    </row>
    <row r="24" spans="1:29" x14ac:dyDescent="0.3">
      <c r="A24" t="s">
        <v>36</v>
      </c>
      <c r="B24" t="s">
        <v>74</v>
      </c>
      <c r="C24">
        <v>0</v>
      </c>
      <c r="D24">
        <v>0</v>
      </c>
      <c r="E24">
        <v>2</v>
      </c>
      <c r="F24">
        <v>25</v>
      </c>
      <c r="G24">
        <v>27</v>
      </c>
      <c r="H24">
        <v>6</v>
      </c>
      <c r="I24">
        <v>200</v>
      </c>
      <c r="J24">
        <v>0</v>
      </c>
      <c r="K24" t="s">
        <v>24</v>
      </c>
      <c r="L24">
        <v>17.8249</v>
      </c>
      <c r="M24">
        <v>57.6008</v>
      </c>
      <c r="N24">
        <f>N25</f>
        <v>530.50000000000011</v>
      </c>
      <c r="O24">
        <v>531.53859999999997</v>
      </c>
      <c r="P24" s="1">
        <f t="shared" si="0"/>
        <v>1.9539502869591416E-3</v>
      </c>
      <c r="Q24">
        <v>1</v>
      </c>
      <c r="R24">
        <v>1</v>
      </c>
      <c r="S24">
        <v>1242</v>
      </c>
      <c r="T24" t="s">
        <v>75</v>
      </c>
      <c r="U24" t="s">
        <v>78</v>
      </c>
      <c r="V24" s="2">
        <v>46109.068055555559</v>
      </c>
    </row>
    <row r="25" spans="1:29" x14ac:dyDescent="0.3">
      <c r="A25" t="s">
        <v>39</v>
      </c>
      <c r="B25" t="s">
        <v>74</v>
      </c>
      <c r="C25">
        <v>0</v>
      </c>
      <c r="D25">
        <v>0</v>
      </c>
      <c r="E25">
        <v>3</v>
      </c>
      <c r="F25">
        <v>25</v>
      </c>
      <c r="G25">
        <v>27</v>
      </c>
      <c r="H25">
        <v>6</v>
      </c>
      <c r="I25">
        <v>200</v>
      </c>
      <c r="J25">
        <v>0</v>
      </c>
      <c r="K25" t="s">
        <v>24</v>
      </c>
      <c r="L25">
        <v>17.8249</v>
      </c>
      <c r="M25">
        <v>22.607299999999999</v>
      </c>
      <c r="N25">
        <f>N26</f>
        <v>530.50000000000011</v>
      </c>
      <c r="O25">
        <v>537.51660000000004</v>
      </c>
      <c r="P25" s="1">
        <f t="shared" si="0"/>
        <v>1.3053736386931912E-2</v>
      </c>
      <c r="Q25">
        <v>0</v>
      </c>
      <c r="R25">
        <v>65</v>
      </c>
      <c r="S25">
        <v>1452</v>
      </c>
      <c r="T25" t="s">
        <v>75</v>
      </c>
      <c r="U25" t="s">
        <v>79</v>
      </c>
      <c r="V25" s="2">
        <v>46109.068055555559</v>
      </c>
    </row>
    <row r="26" spans="1:29" x14ac:dyDescent="0.3">
      <c r="A26" t="s">
        <v>42</v>
      </c>
      <c r="B26" t="s">
        <v>74</v>
      </c>
      <c r="C26">
        <v>0</v>
      </c>
      <c r="D26">
        <v>0</v>
      </c>
      <c r="E26">
        <v>22</v>
      </c>
      <c r="F26">
        <v>25</v>
      </c>
      <c r="G26">
        <v>27</v>
      </c>
      <c r="H26">
        <v>6</v>
      </c>
      <c r="I26">
        <v>200</v>
      </c>
      <c r="J26">
        <v>0</v>
      </c>
      <c r="K26" t="s">
        <v>24</v>
      </c>
      <c r="L26">
        <v>17.8249</v>
      </c>
      <c r="M26">
        <v>210.86269999999999</v>
      </c>
      <c r="N26">
        <f>N90</f>
        <v>530.50000000000011</v>
      </c>
      <c r="O26">
        <v>531.53859999999997</v>
      </c>
      <c r="P26" s="1">
        <f t="shared" si="0"/>
        <v>1.9539502869591416E-3</v>
      </c>
      <c r="Q26">
        <v>1</v>
      </c>
      <c r="R26">
        <v>1</v>
      </c>
      <c r="S26">
        <v>492</v>
      </c>
      <c r="T26" t="s">
        <v>75</v>
      </c>
      <c r="U26" t="s">
        <v>80</v>
      </c>
      <c r="V26" s="2">
        <v>46109.070138888892</v>
      </c>
    </row>
    <row r="27" spans="1:29" x14ac:dyDescent="0.3">
      <c r="A27" t="s">
        <v>22</v>
      </c>
      <c r="B27" t="s">
        <v>81</v>
      </c>
      <c r="C27">
        <v>0</v>
      </c>
      <c r="D27">
        <v>0</v>
      </c>
      <c r="E27">
        <v>0</v>
      </c>
      <c r="F27">
        <v>25</v>
      </c>
      <c r="G27">
        <v>27</v>
      </c>
      <c r="H27">
        <v>5</v>
      </c>
      <c r="I27">
        <v>200</v>
      </c>
      <c r="J27">
        <v>0</v>
      </c>
      <c r="K27" t="s">
        <v>24</v>
      </c>
      <c r="L27">
        <v>1092.5516</v>
      </c>
      <c r="M27">
        <v>1481.3308</v>
      </c>
      <c r="N27">
        <f>N28</f>
        <v>465.4</v>
      </c>
      <c r="O27">
        <v>470.52350000000001</v>
      </c>
      <c r="P27" s="1">
        <f t="shared" si="0"/>
        <v>1.08889354091773E-2</v>
      </c>
      <c r="Q27">
        <v>0</v>
      </c>
      <c r="R27">
        <v>307</v>
      </c>
      <c r="S27">
        <v>2765</v>
      </c>
      <c r="T27" t="s">
        <v>82</v>
      </c>
      <c r="U27" t="s">
        <v>83</v>
      </c>
      <c r="V27" s="2">
        <v>46109.1</v>
      </c>
    </row>
    <row r="28" spans="1:29" x14ac:dyDescent="0.3">
      <c r="A28" t="s">
        <v>29</v>
      </c>
      <c r="B28" t="s">
        <v>81</v>
      </c>
      <c r="C28">
        <v>0</v>
      </c>
      <c r="D28">
        <v>0</v>
      </c>
      <c r="E28">
        <v>1</v>
      </c>
      <c r="F28">
        <v>25</v>
      </c>
      <c r="G28">
        <v>27</v>
      </c>
      <c r="H28">
        <v>5</v>
      </c>
      <c r="I28">
        <v>200</v>
      </c>
      <c r="J28">
        <v>0</v>
      </c>
      <c r="K28" t="s">
        <v>24</v>
      </c>
      <c r="L28">
        <v>1092.5516</v>
      </c>
      <c r="M28">
        <v>809.25009999999997</v>
      </c>
      <c r="N28">
        <f>N29</f>
        <v>465.4</v>
      </c>
      <c r="O28">
        <v>466.48020000000002</v>
      </c>
      <c r="P28" s="1">
        <f t="shared" si="0"/>
        <v>2.3156395491170847E-3</v>
      </c>
      <c r="Q28">
        <v>1</v>
      </c>
      <c r="R28">
        <v>137</v>
      </c>
      <c r="S28">
        <v>2280</v>
      </c>
      <c r="T28" t="s">
        <v>82</v>
      </c>
      <c r="U28" t="s">
        <v>84</v>
      </c>
      <c r="V28" s="2">
        <v>46109.109722222223</v>
      </c>
    </row>
    <row r="29" spans="1:29" x14ac:dyDescent="0.3">
      <c r="A29" t="s">
        <v>36</v>
      </c>
      <c r="B29" t="s">
        <v>81</v>
      </c>
      <c r="C29">
        <v>0</v>
      </c>
      <c r="D29">
        <v>0</v>
      </c>
      <c r="E29">
        <v>2</v>
      </c>
      <c r="F29">
        <v>25</v>
      </c>
      <c r="G29">
        <v>27</v>
      </c>
      <c r="H29">
        <v>5</v>
      </c>
      <c r="I29">
        <v>200</v>
      </c>
      <c r="J29">
        <v>0</v>
      </c>
      <c r="K29" t="s">
        <v>24</v>
      </c>
      <c r="L29">
        <v>1092.5516</v>
      </c>
      <c r="M29">
        <v>875.56370000000004</v>
      </c>
      <c r="N29">
        <f>N30</f>
        <v>465.4</v>
      </c>
      <c r="O29">
        <v>466.48020000000002</v>
      </c>
      <c r="P29" s="1">
        <f t="shared" si="0"/>
        <v>2.3156395491170847E-3</v>
      </c>
      <c r="Q29">
        <v>1</v>
      </c>
      <c r="R29">
        <v>153</v>
      </c>
      <c r="S29">
        <v>2390</v>
      </c>
      <c r="T29" t="s">
        <v>82</v>
      </c>
      <c r="U29" t="s">
        <v>85</v>
      </c>
      <c r="V29" s="2">
        <v>46109.119444444441</v>
      </c>
    </row>
    <row r="30" spans="1:29" x14ac:dyDescent="0.3">
      <c r="A30" t="s">
        <v>39</v>
      </c>
      <c r="B30" t="s">
        <v>81</v>
      </c>
      <c r="C30">
        <v>0</v>
      </c>
      <c r="D30">
        <v>0</v>
      </c>
      <c r="E30">
        <v>3</v>
      </c>
      <c r="F30">
        <v>25</v>
      </c>
      <c r="G30">
        <v>27</v>
      </c>
      <c r="H30">
        <v>5</v>
      </c>
      <c r="I30">
        <v>200</v>
      </c>
      <c r="J30">
        <v>0</v>
      </c>
      <c r="K30" t="s">
        <v>24</v>
      </c>
      <c r="L30">
        <v>1092.5516</v>
      </c>
      <c r="M30">
        <v>2234.3161</v>
      </c>
      <c r="N30">
        <f>N31</f>
        <v>465.4</v>
      </c>
      <c r="O30">
        <v>501.45339999999999</v>
      </c>
      <c r="P30" s="1">
        <f t="shared" si="0"/>
        <v>7.1897807453294785E-2</v>
      </c>
      <c r="Q30">
        <v>0</v>
      </c>
      <c r="R30">
        <v>16147</v>
      </c>
      <c r="S30">
        <v>6465</v>
      </c>
      <c r="T30" t="s">
        <v>82</v>
      </c>
      <c r="U30" t="s">
        <v>86</v>
      </c>
      <c r="V30" s="2">
        <v>46109.145833333336</v>
      </c>
    </row>
    <row r="31" spans="1:29" x14ac:dyDescent="0.3">
      <c r="A31" t="s">
        <v>42</v>
      </c>
      <c r="B31" t="s">
        <v>81</v>
      </c>
      <c r="C31">
        <v>0</v>
      </c>
      <c r="D31">
        <v>0</v>
      </c>
      <c r="E31">
        <v>22</v>
      </c>
      <c r="F31">
        <v>25</v>
      </c>
      <c r="G31">
        <v>27</v>
      </c>
      <c r="H31">
        <v>5</v>
      </c>
      <c r="I31">
        <v>200</v>
      </c>
      <c r="J31">
        <v>0</v>
      </c>
      <c r="K31" t="s">
        <v>24</v>
      </c>
      <c r="L31">
        <v>1092.5516</v>
      </c>
      <c r="M31">
        <v>3602.4569000000001</v>
      </c>
      <c r="N31">
        <f>N91</f>
        <v>465.4</v>
      </c>
      <c r="O31">
        <f>O30</f>
        <v>501.45339999999999</v>
      </c>
      <c r="P31" s="1">
        <f t="shared" si="0"/>
        <v>7.1897807453294785E-2</v>
      </c>
      <c r="R31">
        <v>0</v>
      </c>
      <c r="S31">
        <v>0</v>
      </c>
      <c r="T31" t="s">
        <v>82</v>
      </c>
      <c r="U31" t="s">
        <v>87</v>
      </c>
      <c r="V31" s="2">
        <v>46109.1875</v>
      </c>
    </row>
    <row r="32" spans="1:29" x14ac:dyDescent="0.3">
      <c r="A32" t="s">
        <v>22</v>
      </c>
      <c r="B32" t="s">
        <v>88</v>
      </c>
      <c r="C32">
        <v>0</v>
      </c>
      <c r="D32">
        <v>0</v>
      </c>
      <c r="E32">
        <v>0</v>
      </c>
      <c r="F32">
        <v>25</v>
      </c>
      <c r="G32">
        <v>27</v>
      </c>
      <c r="H32">
        <v>4</v>
      </c>
      <c r="I32">
        <v>200</v>
      </c>
      <c r="J32">
        <v>0</v>
      </c>
      <c r="K32" t="s">
        <v>24</v>
      </c>
      <c r="L32">
        <v>1201.3897999999999</v>
      </c>
      <c r="M32">
        <v>169.63300000000001</v>
      </c>
      <c r="N32">
        <f>N33</f>
        <v>424.3</v>
      </c>
      <c r="O32">
        <v>425.26850000000002</v>
      </c>
      <c r="P32" s="1">
        <f t="shared" si="0"/>
        <v>2.2773847580998966E-3</v>
      </c>
      <c r="Q32">
        <v>0</v>
      </c>
      <c r="R32">
        <v>1</v>
      </c>
      <c r="S32">
        <v>1156</v>
      </c>
      <c r="T32" t="s">
        <v>89</v>
      </c>
      <c r="U32" t="s">
        <v>90</v>
      </c>
      <c r="V32" s="2">
        <v>46109.203472222223</v>
      </c>
    </row>
    <row r="33" spans="1:22" x14ac:dyDescent="0.3">
      <c r="A33" t="s">
        <v>29</v>
      </c>
      <c r="B33" t="s">
        <v>88</v>
      </c>
      <c r="C33">
        <v>0</v>
      </c>
      <c r="D33">
        <v>0</v>
      </c>
      <c r="E33">
        <v>1</v>
      </c>
      <c r="F33">
        <v>25</v>
      </c>
      <c r="G33">
        <v>27</v>
      </c>
      <c r="H33">
        <v>4</v>
      </c>
      <c r="I33">
        <v>200</v>
      </c>
      <c r="J33">
        <v>0</v>
      </c>
      <c r="K33" t="s">
        <v>24</v>
      </c>
      <c r="L33">
        <v>1201.3897999999999</v>
      </c>
      <c r="M33">
        <v>183.1797</v>
      </c>
      <c r="N33">
        <f>N34</f>
        <v>424.3</v>
      </c>
      <c r="O33">
        <v>425.26850000000002</v>
      </c>
      <c r="P33" s="1">
        <f t="shared" si="0"/>
        <v>2.2773847580998966E-3</v>
      </c>
      <c r="Q33">
        <v>0</v>
      </c>
      <c r="R33">
        <v>1</v>
      </c>
      <c r="S33">
        <v>1808</v>
      </c>
      <c r="T33" t="s">
        <v>89</v>
      </c>
      <c r="U33" t="s">
        <v>91</v>
      </c>
      <c r="V33" s="2">
        <v>46109.205555555556</v>
      </c>
    </row>
    <row r="34" spans="1:22" x14ac:dyDescent="0.3">
      <c r="A34" t="s">
        <v>36</v>
      </c>
      <c r="B34" t="s">
        <v>88</v>
      </c>
      <c r="C34">
        <v>0</v>
      </c>
      <c r="D34">
        <v>0</v>
      </c>
      <c r="E34">
        <v>2</v>
      </c>
      <c r="F34">
        <v>25</v>
      </c>
      <c r="G34">
        <v>27</v>
      </c>
      <c r="H34">
        <v>4</v>
      </c>
      <c r="I34">
        <v>200</v>
      </c>
      <c r="J34">
        <v>0</v>
      </c>
      <c r="K34" t="s">
        <v>24</v>
      </c>
      <c r="L34">
        <v>1201.3897999999999</v>
      </c>
      <c r="M34">
        <v>246.2748</v>
      </c>
      <c r="N34">
        <f>N35</f>
        <v>424.3</v>
      </c>
      <c r="O34">
        <v>425.26850000000002</v>
      </c>
      <c r="P34" s="1">
        <f t="shared" si="0"/>
        <v>2.2773847580998966E-3</v>
      </c>
      <c r="Q34">
        <v>0</v>
      </c>
      <c r="R34">
        <v>1</v>
      </c>
      <c r="S34">
        <v>1976</v>
      </c>
      <c r="T34" t="s">
        <v>89</v>
      </c>
      <c r="U34" t="s">
        <v>90</v>
      </c>
      <c r="V34" s="2">
        <v>46109.208333333336</v>
      </c>
    </row>
    <row r="35" spans="1:22" x14ac:dyDescent="0.3">
      <c r="A35" t="s">
        <v>39</v>
      </c>
      <c r="B35" t="s">
        <v>88</v>
      </c>
      <c r="C35">
        <v>0</v>
      </c>
      <c r="D35">
        <v>0</v>
      </c>
      <c r="E35">
        <v>3</v>
      </c>
      <c r="F35">
        <v>25</v>
      </c>
      <c r="G35">
        <v>27</v>
      </c>
      <c r="H35">
        <v>4</v>
      </c>
      <c r="I35">
        <v>200</v>
      </c>
      <c r="J35">
        <v>0</v>
      </c>
      <c r="K35" t="s">
        <v>24</v>
      </c>
      <c r="L35">
        <v>1201.3897999999999</v>
      </c>
      <c r="M35">
        <v>115.3156</v>
      </c>
      <c r="N35">
        <f>N36</f>
        <v>424.3</v>
      </c>
      <c r="O35">
        <v>431.12639999999999</v>
      </c>
      <c r="P35" s="1">
        <f t="shared" si="0"/>
        <v>1.583387145857915E-2</v>
      </c>
      <c r="Q35">
        <v>0</v>
      </c>
      <c r="R35">
        <v>193</v>
      </c>
      <c r="S35">
        <v>2296</v>
      </c>
      <c r="T35" t="s">
        <v>89</v>
      </c>
      <c r="U35" t="s">
        <v>92</v>
      </c>
      <c r="V35" s="2">
        <v>46109.209722222222</v>
      </c>
    </row>
    <row r="36" spans="1:22" x14ac:dyDescent="0.3">
      <c r="A36" t="s">
        <v>42</v>
      </c>
      <c r="B36" t="s">
        <v>88</v>
      </c>
      <c r="C36">
        <v>0</v>
      </c>
      <c r="D36">
        <v>0</v>
      </c>
      <c r="E36">
        <v>22</v>
      </c>
      <c r="F36">
        <v>25</v>
      </c>
      <c r="G36">
        <v>27</v>
      </c>
      <c r="H36">
        <v>4</v>
      </c>
      <c r="I36">
        <v>200</v>
      </c>
      <c r="J36">
        <v>0</v>
      </c>
      <c r="K36" t="s">
        <v>24</v>
      </c>
      <c r="L36">
        <v>1201.3897999999999</v>
      </c>
      <c r="M36">
        <v>443.10219999999998</v>
      </c>
      <c r="N36">
        <f>N92</f>
        <v>424.3</v>
      </c>
      <c r="O36">
        <v>425.26850000000002</v>
      </c>
      <c r="P36" s="1">
        <f t="shared" si="0"/>
        <v>2.2773847580998966E-3</v>
      </c>
      <c r="Q36">
        <v>0</v>
      </c>
      <c r="R36">
        <v>1</v>
      </c>
      <c r="S36">
        <v>472</v>
      </c>
      <c r="T36" t="s">
        <v>89</v>
      </c>
      <c r="U36" t="s">
        <v>93</v>
      </c>
      <c r="V36" s="2">
        <v>46109.214583333334</v>
      </c>
    </row>
    <row r="37" spans="1:22" x14ac:dyDescent="0.3">
      <c r="A37" t="s">
        <v>22</v>
      </c>
      <c r="B37" t="s">
        <v>94</v>
      </c>
      <c r="C37">
        <v>0</v>
      </c>
      <c r="D37">
        <v>0</v>
      </c>
      <c r="E37">
        <v>0</v>
      </c>
      <c r="F37">
        <v>25</v>
      </c>
      <c r="G37">
        <v>27</v>
      </c>
      <c r="H37">
        <v>4</v>
      </c>
      <c r="I37">
        <v>200</v>
      </c>
      <c r="J37">
        <v>0</v>
      </c>
      <c r="K37" t="s">
        <v>24</v>
      </c>
      <c r="L37">
        <v>1201.4456</v>
      </c>
      <c r="M37">
        <v>3618.3218999999999</v>
      </c>
      <c r="N37">
        <f>N38</f>
        <v>397.3</v>
      </c>
      <c r="O37">
        <v>418.35570000000001</v>
      </c>
      <c r="P37" s="1">
        <f t="shared" si="0"/>
        <v>5.0329659665208339E-2</v>
      </c>
      <c r="Q37">
        <v>0</v>
      </c>
      <c r="R37">
        <v>212</v>
      </c>
      <c r="S37">
        <v>5284</v>
      </c>
      <c r="T37" t="s">
        <v>95</v>
      </c>
      <c r="U37" t="s">
        <v>96</v>
      </c>
      <c r="V37" s="2">
        <v>46109.270138888889</v>
      </c>
    </row>
    <row r="38" spans="1:22" x14ac:dyDescent="0.3">
      <c r="A38" t="s">
        <v>29</v>
      </c>
      <c r="B38" t="s">
        <v>94</v>
      </c>
      <c r="C38">
        <v>0</v>
      </c>
      <c r="D38">
        <v>0</v>
      </c>
      <c r="E38">
        <v>1</v>
      </c>
      <c r="F38">
        <v>25</v>
      </c>
      <c r="G38">
        <v>27</v>
      </c>
      <c r="H38">
        <v>4</v>
      </c>
      <c r="I38">
        <v>200</v>
      </c>
      <c r="J38">
        <v>0</v>
      </c>
      <c r="K38" t="s">
        <v>24</v>
      </c>
      <c r="L38">
        <v>1201.4456</v>
      </c>
      <c r="M38">
        <v>426.5231</v>
      </c>
      <c r="N38">
        <f>N39</f>
        <v>397.3</v>
      </c>
      <c r="O38">
        <v>398.29469999999998</v>
      </c>
      <c r="P38" s="1">
        <f t="shared" si="0"/>
        <v>2.4973970278790209E-3</v>
      </c>
      <c r="Q38">
        <v>1</v>
      </c>
      <c r="R38">
        <v>9</v>
      </c>
      <c r="S38">
        <v>2032</v>
      </c>
      <c r="T38" t="s">
        <v>95</v>
      </c>
      <c r="U38" t="s">
        <v>97</v>
      </c>
      <c r="V38" s="2">
        <v>46109.275000000001</v>
      </c>
    </row>
    <row r="39" spans="1:22" x14ac:dyDescent="0.3">
      <c r="A39" t="s">
        <v>36</v>
      </c>
      <c r="B39" t="s">
        <v>94</v>
      </c>
      <c r="C39">
        <v>0</v>
      </c>
      <c r="D39">
        <v>0</v>
      </c>
      <c r="E39">
        <v>2</v>
      </c>
      <c r="F39">
        <v>25</v>
      </c>
      <c r="G39">
        <v>27</v>
      </c>
      <c r="H39">
        <v>4</v>
      </c>
      <c r="I39">
        <v>200</v>
      </c>
      <c r="J39">
        <v>0</v>
      </c>
      <c r="K39" t="s">
        <v>24</v>
      </c>
      <c r="L39">
        <v>1201.4456</v>
      </c>
      <c r="M39">
        <v>1033.4836</v>
      </c>
      <c r="N39">
        <f>N40</f>
        <v>397.3</v>
      </c>
      <c r="O39">
        <v>398.29469999999998</v>
      </c>
      <c r="P39" s="1">
        <f t="shared" si="0"/>
        <v>2.4973970278790209E-3</v>
      </c>
      <c r="Q39">
        <v>1</v>
      </c>
      <c r="R39">
        <v>95</v>
      </c>
      <c r="S39">
        <v>2328</v>
      </c>
      <c r="T39" t="s">
        <v>95</v>
      </c>
      <c r="U39" t="s">
        <v>98</v>
      </c>
      <c r="V39" s="2">
        <v>46109.287499999999</v>
      </c>
    </row>
    <row r="40" spans="1:22" x14ac:dyDescent="0.3">
      <c r="A40" t="s">
        <v>39</v>
      </c>
      <c r="B40" t="s">
        <v>94</v>
      </c>
      <c r="C40">
        <v>0</v>
      </c>
      <c r="D40">
        <v>0</v>
      </c>
      <c r="E40">
        <v>3</v>
      </c>
      <c r="F40">
        <v>25</v>
      </c>
      <c r="G40">
        <v>27</v>
      </c>
      <c r="H40">
        <v>4</v>
      </c>
      <c r="I40">
        <v>200</v>
      </c>
      <c r="J40">
        <v>0</v>
      </c>
      <c r="K40" t="s">
        <v>24</v>
      </c>
      <c r="L40">
        <v>1201.4456</v>
      </c>
      <c r="M40">
        <v>170.82660000000001</v>
      </c>
      <c r="N40">
        <f>N41</f>
        <v>397.3</v>
      </c>
      <c r="O40">
        <v>412.68130000000002</v>
      </c>
      <c r="P40" s="1">
        <f t="shared" si="0"/>
        <v>3.727161855892188E-2</v>
      </c>
      <c r="Q40">
        <v>0</v>
      </c>
      <c r="R40">
        <v>227</v>
      </c>
      <c r="S40">
        <v>2972</v>
      </c>
      <c r="T40" t="s">
        <v>95</v>
      </c>
      <c r="U40" t="s">
        <v>99</v>
      </c>
      <c r="V40" s="2">
        <v>46109.289583333331</v>
      </c>
    </row>
    <row r="41" spans="1:22" x14ac:dyDescent="0.3">
      <c r="A41" t="s">
        <v>42</v>
      </c>
      <c r="B41" t="s">
        <v>94</v>
      </c>
      <c r="C41">
        <v>0</v>
      </c>
      <c r="D41">
        <v>0</v>
      </c>
      <c r="E41">
        <v>22</v>
      </c>
      <c r="F41">
        <v>25</v>
      </c>
      <c r="G41">
        <v>27</v>
      </c>
      <c r="H41">
        <v>4</v>
      </c>
      <c r="I41">
        <v>200</v>
      </c>
      <c r="J41">
        <v>0</v>
      </c>
      <c r="K41" t="s">
        <v>24</v>
      </c>
      <c r="L41">
        <v>1201.4456</v>
      </c>
      <c r="M41">
        <v>3603.5279</v>
      </c>
      <c r="N41">
        <f>N93</f>
        <v>397.3</v>
      </c>
      <c r="O41">
        <v>413.99369999999999</v>
      </c>
      <c r="P41" s="1">
        <f t="shared" si="0"/>
        <v>4.0323560479301926E-2</v>
      </c>
      <c r="Q41">
        <v>0</v>
      </c>
      <c r="R41">
        <v>469</v>
      </c>
      <c r="S41">
        <v>1976</v>
      </c>
      <c r="T41" t="s">
        <v>95</v>
      </c>
      <c r="U41" t="s">
        <v>100</v>
      </c>
      <c r="V41" s="2">
        <v>46109.331250000003</v>
      </c>
    </row>
    <row r="42" spans="1:22" x14ac:dyDescent="0.3">
      <c r="A42" t="s">
        <v>22</v>
      </c>
      <c r="B42" t="s">
        <v>101</v>
      </c>
      <c r="C42">
        <v>0</v>
      </c>
      <c r="D42">
        <v>0</v>
      </c>
      <c r="E42">
        <v>0</v>
      </c>
      <c r="F42">
        <v>25</v>
      </c>
      <c r="G42">
        <v>27</v>
      </c>
      <c r="H42">
        <v>5</v>
      </c>
      <c r="I42">
        <v>200</v>
      </c>
      <c r="J42">
        <v>0</v>
      </c>
      <c r="K42" t="s">
        <v>24</v>
      </c>
      <c r="L42">
        <v>80.721000000000004</v>
      </c>
      <c r="M42">
        <v>128.85300000000001</v>
      </c>
      <c r="N42">
        <f>N43</f>
        <v>441.3</v>
      </c>
      <c r="O42">
        <v>442.62520000000001</v>
      </c>
      <c r="P42" s="1">
        <f t="shared" si="0"/>
        <v>2.9939551566426749E-3</v>
      </c>
      <c r="Q42">
        <v>1</v>
      </c>
      <c r="R42">
        <v>1</v>
      </c>
      <c r="S42">
        <v>1495</v>
      </c>
      <c r="T42" t="s">
        <v>102</v>
      </c>
      <c r="U42" t="s">
        <v>103</v>
      </c>
      <c r="V42" s="2">
        <v>46109.333333333336</v>
      </c>
    </row>
    <row r="43" spans="1:22" x14ac:dyDescent="0.3">
      <c r="A43" t="s">
        <v>29</v>
      </c>
      <c r="B43" t="s">
        <v>101</v>
      </c>
      <c r="C43">
        <v>0</v>
      </c>
      <c r="D43">
        <v>0</v>
      </c>
      <c r="E43">
        <v>1</v>
      </c>
      <c r="F43">
        <v>25</v>
      </c>
      <c r="G43">
        <v>27</v>
      </c>
      <c r="H43">
        <v>5</v>
      </c>
      <c r="I43">
        <v>200</v>
      </c>
      <c r="J43">
        <v>0</v>
      </c>
      <c r="K43" t="s">
        <v>24</v>
      </c>
      <c r="L43">
        <v>80.721000000000004</v>
      </c>
      <c r="M43">
        <v>93.267700000000005</v>
      </c>
      <c r="N43">
        <f>N44</f>
        <v>441.3</v>
      </c>
      <c r="O43">
        <v>442.62520000000001</v>
      </c>
      <c r="P43" s="1">
        <f t="shared" si="0"/>
        <v>2.9939551566426749E-3</v>
      </c>
      <c r="Q43">
        <v>1</v>
      </c>
      <c r="R43">
        <v>1</v>
      </c>
      <c r="S43">
        <v>1465</v>
      </c>
      <c r="T43" t="s">
        <v>102</v>
      </c>
      <c r="U43" t="s">
        <v>104</v>
      </c>
      <c r="V43" s="2">
        <v>46109.334722222222</v>
      </c>
    </row>
    <row r="44" spans="1:22" x14ac:dyDescent="0.3">
      <c r="A44" t="s">
        <v>36</v>
      </c>
      <c r="B44" t="s">
        <v>101</v>
      </c>
      <c r="C44">
        <v>0</v>
      </c>
      <c r="D44">
        <v>0</v>
      </c>
      <c r="E44">
        <v>2</v>
      </c>
      <c r="F44">
        <v>25</v>
      </c>
      <c r="G44">
        <v>27</v>
      </c>
      <c r="H44">
        <v>5</v>
      </c>
      <c r="I44">
        <v>200</v>
      </c>
      <c r="J44">
        <v>0</v>
      </c>
      <c r="K44" t="s">
        <v>24</v>
      </c>
      <c r="L44">
        <v>80.721000000000004</v>
      </c>
      <c r="M44">
        <v>111.8622</v>
      </c>
      <c r="N44">
        <f>N45</f>
        <v>441.3</v>
      </c>
      <c r="O44">
        <v>442.62520000000001</v>
      </c>
      <c r="P44" s="1">
        <f t="shared" si="0"/>
        <v>2.9939551566426749E-3</v>
      </c>
      <c r="Q44">
        <v>1</v>
      </c>
      <c r="R44">
        <v>1</v>
      </c>
      <c r="S44">
        <v>1470</v>
      </c>
      <c r="T44" t="s">
        <v>102</v>
      </c>
      <c r="U44" t="s">
        <v>105</v>
      </c>
      <c r="V44" s="2">
        <v>46109.336111111108</v>
      </c>
    </row>
    <row r="45" spans="1:22" x14ac:dyDescent="0.3">
      <c r="A45" t="s">
        <v>39</v>
      </c>
      <c r="B45" t="s">
        <v>101</v>
      </c>
      <c r="C45">
        <v>0</v>
      </c>
      <c r="D45">
        <v>0</v>
      </c>
      <c r="E45">
        <v>3</v>
      </c>
      <c r="F45">
        <v>25</v>
      </c>
      <c r="G45">
        <v>27</v>
      </c>
      <c r="H45">
        <v>5</v>
      </c>
      <c r="I45">
        <v>200</v>
      </c>
      <c r="J45">
        <v>0</v>
      </c>
      <c r="K45" t="s">
        <v>24</v>
      </c>
      <c r="L45">
        <v>80.721000000000004</v>
      </c>
      <c r="M45">
        <v>4.5376000000000003</v>
      </c>
      <c r="N45">
        <f>N46</f>
        <v>441.3</v>
      </c>
      <c r="O45">
        <v>474.33210000000003</v>
      </c>
      <c r="P45" s="1">
        <f t="shared" si="0"/>
        <v>6.9639183179886016E-2</v>
      </c>
      <c r="Q45">
        <v>0</v>
      </c>
      <c r="R45">
        <v>1</v>
      </c>
      <c r="S45">
        <v>1205</v>
      </c>
      <c r="T45" t="s">
        <v>102</v>
      </c>
      <c r="U45" t="s">
        <v>106</v>
      </c>
      <c r="V45" s="2">
        <v>46109.336111111108</v>
      </c>
    </row>
    <row r="46" spans="1:22" x14ac:dyDescent="0.3">
      <c r="A46" t="s">
        <v>42</v>
      </c>
      <c r="B46" t="s">
        <v>101</v>
      </c>
      <c r="C46">
        <v>0</v>
      </c>
      <c r="D46">
        <v>0</v>
      </c>
      <c r="E46">
        <v>22</v>
      </c>
      <c r="F46">
        <v>25</v>
      </c>
      <c r="G46">
        <v>27</v>
      </c>
      <c r="H46">
        <v>5</v>
      </c>
      <c r="I46">
        <v>200</v>
      </c>
      <c r="J46">
        <v>0</v>
      </c>
      <c r="K46" t="s">
        <v>24</v>
      </c>
      <c r="L46">
        <v>80.721000000000004</v>
      </c>
      <c r="M46">
        <v>350.23110000000003</v>
      </c>
      <c r="N46">
        <f>N94</f>
        <v>441.3</v>
      </c>
      <c r="O46">
        <v>442.62520000000001</v>
      </c>
      <c r="P46" s="1">
        <f t="shared" si="0"/>
        <v>2.9939551566426749E-3</v>
      </c>
      <c r="Q46">
        <v>1</v>
      </c>
      <c r="R46">
        <v>1</v>
      </c>
      <c r="S46">
        <v>515</v>
      </c>
      <c r="T46" t="s">
        <v>102</v>
      </c>
      <c r="U46" t="s">
        <v>107</v>
      </c>
      <c r="V46" s="2">
        <v>46109.339583333334</v>
      </c>
    </row>
    <row r="47" spans="1:22" x14ac:dyDescent="0.3">
      <c r="A47" t="s">
        <v>22</v>
      </c>
      <c r="B47" t="s">
        <v>108</v>
      </c>
      <c r="C47">
        <v>0</v>
      </c>
      <c r="D47">
        <v>0</v>
      </c>
      <c r="E47">
        <v>0</v>
      </c>
      <c r="F47">
        <v>25</v>
      </c>
      <c r="G47">
        <v>27</v>
      </c>
      <c r="H47">
        <v>4</v>
      </c>
      <c r="I47">
        <v>200</v>
      </c>
      <c r="J47">
        <v>0</v>
      </c>
      <c r="K47" t="s">
        <v>24</v>
      </c>
      <c r="L47">
        <v>1201.6729</v>
      </c>
      <c r="M47">
        <v>1171.8680999999999</v>
      </c>
      <c r="N47">
        <f>N48</f>
        <v>444.8</v>
      </c>
      <c r="O47">
        <v>445.87220000000002</v>
      </c>
      <c r="P47" s="1">
        <f t="shared" si="0"/>
        <v>2.4047249413621423E-3</v>
      </c>
      <c r="R47">
        <v>129</v>
      </c>
      <c r="S47">
        <v>1704</v>
      </c>
      <c r="T47" t="s">
        <v>109</v>
      </c>
      <c r="U47" t="s">
        <v>110</v>
      </c>
      <c r="V47" s="2">
        <v>46109.367361111108</v>
      </c>
    </row>
    <row r="48" spans="1:22" x14ac:dyDescent="0.3">
      <c r="A48" t="s">
        <v>29</v>
      </c>
      <c r="B48" t="s">
        <v>108</v>
      </c>
      <c r="C48">
        <v>0</v>
      </c>
      <c r="D48">
        <v>0</v>
      </c>
      <c r="E48">
        <v>1</v>
      </c>
      <c r="F48">
        <v>25</v>
      </c>
      <c r="G48">
        <v>27</v>
      </c>
      <c r="H48">
        <v>4</v>
      </c>
      <c r="I48">
        <v>200</v>
      </c>
      <c r="J48">
        <v>0</v>
      </c>
      <c r="K48" t="s">
        <v>24</v>
      </c>
      <c r="L48">
        <v>1201.6729</v>
      </c>
      <c r="M48">
        <v>484.53980000000001</v>
      </c>
      <c r="N48">
        <f>N49</f>
        <v>444.8</v>
      </c>
      <c r="O48">
        <v>445.87220000000002</v>
      </c>
      <c r="P48" s="1">
        <f t="shared" si="0"/>
        <v>2.4047249413621423E-3</v>
      </c>
      <c r="R48">
        <v>99</v>
      </c>
      <c r="S48">
        <v>1744</v>
      </c>
      <c r="T48" t="s">
        <v>109</v>
      </c>
      <c r="U48" t="s">
        <v>111</v>
      </c>
      <c r="V48" s="2">
        <v>46109.372916666667</v>
      </c>
    </row>
    <row r="49" spans="1:22" x14ac:dyDescent="0.3">
      <c r="A49" t="s">
        <v>36</v>
      </c>
      <c r="B49" t="s">
        <v>108</v>
      </c>
      <c r="C49">
        <v>0</v>
      </c>
      <c r="D49">
        <v>0</v>
      </c>
      <c r="E49">
        <v>2</v>
      </c>
      <c r="F49">
        <v>25</v>
      </c>
      <c r="G49">
        <v>27</v>
      </c>
      <c r="H49">
        <v>4</v>
      </c>
      <c r="I49">
        <v>200</v>
      </c>
      <c r="J49">
        <v>0</v>
      </c>
      <c r="K49" t="s">
        <v>24</v>
      </c>
      <c r="L49">
        <v>1201.6729</v>
      </c>
      <c r="M49">
        <v>952.60149999999999</v>
      </c>
      <c r="N49">
        <f>N51</f>
        <v>444.8</v>
      </c>
      <c r="O49">
        <v>445.87220000000002</v>
      </c>
      <c r="P49" s="1">
        <f t="shared" si="0"/>
        <v>2.4047249413621423E-3</v>
      </c>
      <c r="R49">
        <v>131</v>
      </c>
      <c r="S49">
        <v>2424</v>
      </c>
      <c r="T49" t="s">
        <v>109</v>
      </c>
      <c r="U49" t="s">
        <v>112</v>
      </c>
      <c r="V49" s="2">
        <v>46109.384027777778</v>
      </c>
    </row>
    <row r="50" spans="1:22" x14ac:dyDescent="0.3">
      <c r="A50" t="s">
        <v>39</v>
      </c>
      <c r="B50" t="s">
        <v>108</v>
      </c>
      <c r="C50">
        <v>0</v>
      </c>
      <c r="D50">
        <v>0</v>
      </c>
      <c r="E50">
        <v>3</v>
      </c>
      <c r="F50">
        <v>25</v>
      </c>
      <c r="G50">
        <v>27</v>
      </c>
      <c r="H50">
        <v>4</v>
      </c>
      <c r="I50">
        <v>200</v>
      </c>
      <c r="J50">
        <v>0</v>
      </c>
      <c r="K50" t="s">
        <v>24</v>
      </c>
      <c r="L50">
        <v>1201.6729</v>
      </c>
      <c r="M50">
        <v>285.8956</v>
      </c>
      <c r="N50">
        <f>N51</f>
        <v>444.8</v>
      </c>
      <c r="O50">
        <v>463.75439999999998</v>
      </c>
      <c r="P50" s="1">
        <f t="shared" si="0"/>
        <v>4.0871633778568929E-2</v>
      </c>
      <c r="R50">
        <v>641</v>
      </c>
      <c r="S50">
        <v>3308</v>
      </c>
      <c r="T50" t="s">
        <v>109</v>
      </c>
      <c r="U50" t="s">
        <v>113</v>
      </c>
      <c r="V50" s="2">
        <v>46109.387499999997</v>
      </c>
    </row>
    <row r="51" spans="1:22" x14ac:dyDescent="0.3">
      <c r="A51" t="s">
        <v>42</v>
      </c>
      <c r="B51" t="s">
        <v>108</v>
      </c>
      <c r="C51">
        <v>0</v>
      </c>
      <c r="D51">
        <v>0</v>
      </c>
      <c r="E51">
        <v>22</v>
      </c>
      <c r="F51">
        <v>25</v>
      </c>
      <c r="G51">
        <v>27</v>
      </c>
      <c r="H51">
        <v>4</v>
      </c>
      <c r="I51">
        <v>200</v>
      </c>
      <c r="J51">
        <v>0</v>
      </c>
      <c r="K51" t="s">
        <v>24</v>
      </c>
      <c r="L51">
        <v>1201.6729</v>
      </c>
      <c r="M51">
        <v>3602.4666000000002</v>
      </c>
      <c r="N51">
        <f>N95</f>
        <v>444.8</v>
      </c>
      <c r="O51">
        <v>445.87220000000002</v>
      </c>
      <c r="P51" s="1">
        <f t="shared" si="0"/>
        <v>2.4047249413621423E-3</v>
      </c>
      <c r="R51">
        <v>989</v>
      </c>
      <c r="S51">
        <v>908</v>
      </c>
      <c r="T51" t="s">
        <v>109</v>
      </c>
      <c r="U51" t="s">
        <v>114</v>
      </c>
      <c r="V51" s="2">
        <v>46109.429166666669</v>
      </c>
    </row>
    <row r="52" spans="1:22" x14ac:dyDescent="0.3">
      <c r="A52" t="s">
        <v>22</v>
      </c>
      <c r="B52" t="s">
        <v>115</v>
      </c>
      <c r="C52">
        <v>0</v>
      </c>
      <c r="D52">
        <v>0</v>
      </c>
      <c r="E52">
        <v>0</v>
      </c>
      <c r="F52">
        <v>25</v>
      </c>
      <c r="G52">
        <v>27</v>
      </c>
      <c r="H52">
        <v>4</v>
      </c>
      <c r="I52">
        <v>200</v>
      </c>
      <c r="J52">
        <v>0</v>
      </c>
      <c r="K52" t="s">
        <v>24</v>
      </c>
      <c r="L52">
        <v>1201.3062</v>
      </c>
      <c r="M52">
        <v>491.49450000000002</v>
      </c>
      <c r="N52">
        <f>N53</f>
        <v>428.8</v>
      </c>
      <c r="O52">
        <v>429.6968</v>
      </c>
      <c r="P52" s="1">
        <f t="shared" si="0"/>
        <v>2.0870530104017174E-3</v>
      </c>
      <c r="Q52">
        <v>0</v>
      </c>
      <c r="R52">
        <v>33</v>
      </c>
      <c r="S52">
        <v>1356</v>
      </c>
      <c r="T52" t="s">
        <v>116</v>
      </c>
      <c r="U52" t="s">
        <v>117</v>
      </c>
      <c r="V52" s="2">
        <v>46109.448611111111</v>
      </c>
    </row>
    <row r="53" spans="1:22" x14ac:dyDescent="0.3">
      <c r="A53" t="s">
        <v>29</v>
      </c>
      <c r="B53" t="s">
        <v>115</v>
      </c>
      <c r="C53">
        <v>0</v>
      </c>
      <c r="D53">
        <v>0</v>
      </c>
      <c r="E53">
        <v>1</v>
      </c>
      <c r="F53">
        <v>25</v>
      </c>
      <c r="G53">
        <v>27</v>
      </c>
      <c r="H53">
        <v>4</v>
      </c>
      <c r="I53">
        <v>200</v>
      </c>
      <c r="J53">
        <v>0</v>
      </c>
      <c r="K53" t="s">
        <v>24</v>
      </c>
      <c r="L53">
        <v>1201.3062</v>
      </c>
      <c r="M53">
        <v>294.95929999999998</v>
      </c>
      <c r="N53">
        <f>N54</f>
        <v>428.8</v>
      </c>
      <c r="O53">
        <v>429.6968</v>
      </c>
      <c r="P53" s="1">
        <f t="shared" si="0"/>
        <v>2.0870530104017174E-3</v>
      </c>
      <c r="Q53">
        <v>0</v>
      </c>
      <c r="R53">
        <v>23</v>
      </c>
      <c r="S53">
        <v>1972</v>
      </c>
      <c r="T53" t="s">
        <v>116</v>
      </c>
      <c r="U53" t="s">
        <v>118</v>
      </c>
      <c r="V53" s="2">
        <v>46109.45208333333</v>
      </c>
    </row>
    <row r="54" spans="1:22" x14ac:dyDescent="0.3">
      <c r="A54" t="s">
        <v>36</v>
      </c>
      <c r="B54" t="s">
        <v>115</v>
      </c>
      <c r="C54">
        <v>0</v>
      </c>
      <c r="D54">
        <v>0</v>
      </c>
      <c r="E54">
        <v>2</v>
      </c>
      <c r="F54">
        <v>25</v>
      </c>
      <c r="G54">
        <v>27</v>
      </c>
      <c r="H54">
        <v>4</v>
      </c>
      <c r="I54">
        <v>200</v>
      </c>
      <c r="J54">
        <v>0</v>
      </c>
      <c r="K54" t="s">
        <v>24</v>
      </c>
      <c r="L54">
        <v>1201.3062</v>
      </c>
      <c r="M54">
        <v>347.7278</v>
      </c>
      <c r="N54">
        <f>N55</f>
        <v>428.8</v>
      </c>
      <c r="O54">
        <v>429.6968</v>
      </c>
      <c r="P54" s="1">
        <f t="shared" si="0"/>
        <v>2.0870530104017174E-3</v>
      </c>
      <c r="Q54">
        <v>0</v>
      </c>
      <c r="R54">
        <v>23</v>
      </c>
      <c r="S54">
        <v>1864</v>
      </c>
      <c r="T54" t="s">
        <v>116</v>
      </c>
      <c r="U54" t="s">
        <v>119</v>
      </c>
      <c r="V54" s="2">
        <v>46109.456250000003</v>
      </c>
    </row>
    <row r="55" spans="1:22" x14ac:dyDescent="0.3">
      <c r="A55" t="s">
        <v>39</v>
      </c>
      <c r="B55" t="s">
        <v>115</v>
      </c>
      <c r="C55">
        <v>0</v>
      </c>
      <c r="D55">
        <v>0</v>
      </c>
      <c r="E55">
        <v>3</v>
      </c>
      <c r="F55">
        <v>25</v>
      </c>
      <c r="G55">
        <v>27</v>
      </c>
      <c r="H55">
        <v>4</v>
      </c>
      <c r="I55">
        <v>200</v>
      </c>
      <c r="J55">
        <v>0</v>
      </c>
      <c r="K55" t="s">
        <v>24</v>
      </c>
      <c r="L55">
        <v>1201.3062</v>
      </c>
      <c r="M55">
        <v>284.09190000000001</v>
      </c>
      <c r="N55">
        <f>N56</f>
        <v>428.8</v>
      </c>
      <c r="O55">
        <v>445.80369999999999</v>
      </c>
      <c r="P55" s="1">
        <f t="shared" si="0"/>
        <v>3.814167536070244E-2</v>
      </c>
      <c r="Q55">
        <v>0</v>
      </c>
      <c r="R55">
        <v>309</v>
      </c>
      <c r="S55">
        <v>4940</v>
      </c>
      <c r="T55" t="s">
        <v>116</v>
      </c>
      <c r="U55" t="s">
        <v>120</v>
      </c>
      <c r="V55" s="2">
        <v>46109.459027777775</v>
      </c>
    </row>
    <row r="56" spans="1:22" x14ac:dyDescent="0.3">
      <c r="A56" t="s">
        <v>42</v>
      </c>
      <c r="B56" t="s">
        <v>115</v>
      </c>
      <c r="C56">
        <v>0</v>
      </c>
      <c r="D56">
        <v>0</v>
      </c>
      <c r="E56">
        <v>22</v>
      </c>
      <c r="F56">
        <v>25</v>
      </c>
      <c r="G56">
        <v>27</v>
      </c>
      <c r="H56">
        <v>4</v>
      </c>
      <c r="I56">
        <v>200</v>
      </c>
      <c r="J56">
        <v>0</v>
      </c>
      <c r="K56" t="s">
        <v>24</v>
      </c>
      <c r="L56">
        <v>1201.3062</v>
      </c>
      <c r="M56">
        <v>710.84969999999998</v>
      </c>
      <c r="N56">
        <f>N96</f>
        <v>428.8</v>
      </c>
      <c r="O56">
        <v>429.6968</v>
      </c>
      <c r="P56" s="1">
        <f t="shared" si="0"/>
        <v>2.0870530104017174E-3</v>
      </c>
      <c r="Q56">
        <v>0</v>
      </c>
      <c r="R56">
        <v>35</v>
      </c>
      <c r="S56">
        <v>604</v>
      </c>
      <c r="T56" t="s">
        <v>116</v>
      </c>
      <c r="U56" t="s">
        <v>121</v>
      </c>
      <c r="V56" s="2">
        <v>46109.467361111114</v>
      </c>
    </row>
    <row r="57" spans="1:22" x14ac:dyDescent="0.3">
      <c r="A57" t="s">
        <v>22</v>
      </c>
      <c r="B57" t="s">
        <v>71</v>
      </c>
      <c r="C57">
        <v>0</v>
      </c>
      <c r="D57">
        <v>0</v>
      </c>
      <c r="E57">
        <v>0</v>
      </c>
      <c r="F57">
        <v>25</v>
      </c>
      <c r="G57">
        <v>27</v>
      </c>
      <c r="H57">
        <v>4</v>
      </c>
      <c r="I57">
        <v>200</v>
      </c>
      <c r="J57">
        <v>0</v>
      </c>
      <c r="K57" t="s">
        <v>24</v>
      </c>
      <c r="L57">
        <v>1201.2570000000001</v>
      </c>
      <c r="M57">
        <v>2295.7177999999999</v>
      </c>
      <c r="N57">
        <v>394.10129999999998</v>
      </c>
      <c r="O57">
        <v>396.98379999999997</v>
      </c>
      <c r="P57" s="1">
        <f t="shared" si="0"/>
        <v>7.2610015824323146E-3</v>
      </c>
      <c r="Q57">
        <v>0</v>
      </c>
      <c r="R57">
        <v>489</v>
      </c>
      <c r="S57">
        <v>2204</v>
      </c>
      <c r="T57" t="s">
        <v>122</v>
      </c>
      <c r="U57" t="s">
        <v>123</v>
      </c>
      <c r="V57" s="2">
        <v>46109.508333333331</v>
      </c>
    </row>
    <row r="58" spans="1:22" x14ac:dyDescent="0.3">
      <c r="A58" t="s">
        <v>29</v>
      </c>
      <c r="B58" t="s">
        <v>71</v>
      </c>
      <c r="C58">
        <v>0</v>
      </c>
      <c r="D58">
        <v>0</v>
      </c>
      <c r="E58">
        <v>1</v>
      </c>
      <c r="F58">
        <v>25</v>
      </c>
      <c r="G58">
        <v>27</v>
      </c>
      <c r="H58">
        <v>4</v>
      </c>
      <c r="I58">
        <v>200</v>
      </c>
      <c r="J58">
        <v>0</v>
      </c>
      <c r="K58" t="s">
        <v>24</v>
      </c>
      <c r="L58">
        <v>1201.2570000000001</v>
      </c>
      <c r="M58">
        <v>2191.9139</v>
      </c>
      <c r="N58">
        <v>394.10129999999998</v>
      </c>
      <c r="O58">
        <v>396.98379999999997</v>
      </c>
      <c r="P58" s="1">
        <f t="shared" si="0"/>
        <v>7.2610015824323146E-3</v>
      </c>
      <c r="Q58">
        <v>0</v>
      </c>
      <c r="R58">
        <v>293</v>
      </c>
      <c r="S58">
        <v>2900</v>
      </c>
      <c r="T58" t="s">
        <v>122</v>
      </c>
      <c r="U58" t="s">
        <v>124</v>
      </c>
      <c r="V58" s="2">
        <v>46109.533333333333</v>
      </c>
    </row>
    <row r="59" spans="1:22" x14ac:dyDescent="0.3">
      <c r="A59" t="s">
        <v>36</v>
      </c>
      <c r="B59" t="s">
        <v>71</v>
      </c>
      <c r="C59">
        <v>0</v>
      </c>
      <c r="D59">
        <v>0</v>
      </c>
      <c r="E59">
        <v>2</v>
      </c>
      <c r="F59">
        <v>25</v>
      </c>
      <c r="G59">
        <v>27</v>
      </c>
      <c r="H59">
        <v>4</v>
      </c>
      <c r="I59">
        <v>200</v>
      </c>
      <c r="J59">
        <v>0</v>
      </c>
      <c r="K59" t="s">
        <v>24</v>
      </c>
      <c r="L59">
        <v>1201.2570000000001</v>
      </c>
      <c r="M59">
        <v>1488.6919</v>
      </c>
      <c r="N59">
        <v>394.10129999999998</v>
      </c>
      <c r="O59">
        <v>394.10129999999998</v>
      </c>
      <c r="P59" s="1">
        <f t="shared" si="0"/>
        <v>0</v>
      </c>
      <c r="Q59">
        <v>1</v>
      </c>
      <c r="R59">
        <v>147</v>
      </c>
      <c r="S59">
        <v>2548</v>
      </c>
      <c r="T59" t="s">
        <v>122</v>
      </c>
      <c r="U59" t="s">
        <v>125</v>
      </c>
      <c r="V59" s="2">
        <v>46109.550694444442</v>
      </c>
    </row>
    <row r="60" spans="1:22" x14ac:dyDescent="0.3">
      <c r="A60" t="s">
        <v>39</v>
      </c>
      <c r="B60" t="s">
        <v>71</v>
      </c>
      <c r="C60">
        <v>0</v>
      </c>
      <c r="D60">
        <v>0</v>
      </c>
      <c r="E60">
        <v>3</v>
      </c>
      <c r="F60">
        <v>25</v>
      </c>
      <c r="G60">
        <v>27</v>
      </c>
      <c r="H60">
        <v>4</v>
      </c>
      <c r="I60">
        <v>200</v>
      </c>
      <c r="J60">
        <v>0</v>
      </c>
      <c r="K60" t="s">
        <v>24</v>
      </c>
      <c r="L60">
        <v>1201.2570000000001</v>
      </c>
      <c r="M60">
        <v>67.707400000000007</v>
      </c>
      <c r="N60">
        <v>394.10129999999998</v>
      </c>
      <c r="O60">
        <v>394.10129999999998</v>
      </c>
      <c r="P60" s="1">
        <f t="shared" si="0"/>
        <v>0</v>
      </c>
      <c r="Q60">
        <v>1</v>
      </c>
      <c r="R60">
        <v>75</v>
      </c>
      <c r="S60">
        <v>1708</v>
      </c>
      <c r="T60" t="s">
        <v>122</v>
      </c>
      <c r="U60" t="s">
        <v>125</v>
      </c>
      <c r="V60" s="2">
        <v>46109.551388888889</v>
      </c>
    </row>
    <row r="61" spans="1:22" x14ac:dyDescent="0.3">
      <c r="A61" t="s">
        <v>42</v>
      </c>
      <c r="B61" t="s">
        <v>71</v>
      </c>
      <c r="C61">
        <v>0</v>
      </c>
      <c r="D61">
        <v>0</v>
      </c>
      <c r="E61">
        <v>22</v>
      </c>
      <c r="F61">
        <v>25</v>
      </c>
      <c r="G61">
        <v>27</v>
      </c>
      <c r="H61">
        <v>4</v>
      </c>
      <c r="I61">
        <v>200</v>
      </c>
      <c r="J61">
        <v>0</v>
      </c>
      <c r="K61" t="s">
        <v>24</v>
      </c>
      <c r="L61">
        <v>1201.2570000000001</v>
      </c>
      <c r="M61">
        <v>3601.7314000000001</v>
      </c>
      <c r="N61">
        <v>394.10129999999998</v>
      </c>
      <c r="O61">
        <f>N61</f>
        <v>394.10129999999998</v>
      </c>
      <c r="P61" s="1">
        <f t="shared" si="0"/>
        <v>0</v>
      </c>
      <c r="R61">
        <v>0</v>
      </c>
      <c r="S61">
        <v>0</v>
      </c>
      <c r="T61" t="s">
        <v>122</v>
      </c>
      <c r="U61" t="s">
        <v>87</v>
      </c>
      <c r="V61" s="2">
        <v>46109.593055555553</v>
      </c>
    </row>
    <row r="62" spans="1:22" x14ac:dyDescent="0.3">
      <c r="A62" t="s">
        <v>22</v>
      </c>
      <c r="B62" t="s">
        <v>49</v>
      </c>
      <c r="C62">
        <v>0</v>
      </c>
      <c r="D62">
        <v>0</v>
      </c>
      <c r="E62">
        <v>0</v>
      </c>
      <c r="F62">
        <v>25</v>
      </c>
      <c r="G62">
        <v>27</v>
      </c>
      <c r="H62">
        <v>3</v>
      </c>
      <c r="I62">
        <v>200</v>
      </c>
      <c r="J62">
        <v>0</v>
      </c>
      <c r="K62" t="s">
        <v>24</v>
      </c>
      <c r="L62">
        <v>4.4667000000000003</v>
      </c>
      <c r="M62">
        <v>3605.6968000000002</v>
      </c>
      <c r="N62">
        <v>268.53250000000003</v>
      </c>
      <c r="O62">
        <v>273.78120000000001</v>
      </c>
      <c r="P62" s="1">
        <f t="shared" si="0"/>
        <v>1.9171148347658585E-2</v>
      </c>
      <c r="Q62">
        <v>0</v>
      </c>
      <c r="R62">
        <v>77</v>
      </c>
      <c r="S62">
        <v>5121</v>
      </c>
      <c r="T62" t="s">
        <v>126</v>
      </c>
      <c r="U62" t="s">
        <v>127</v>
      </c>
      <c r="V62" s="2">
        <v>46109.634722222225</v>
      </c>
    </row>
    <row r="63" spans="1:22" x14ac:dyDescent="0.3">
      <c r="A63" t="s">
        <v>29</v>
      </c>
      <c r="B63" t="s">
        <v>49</v>
      </c>
      <c r="C63">
        <v>0</v>
      </c>
      <c r="D63">
        <v>0</v>
      </c>
      <c r="E63">
        <v>1</v>
      </c>
      <c r="F63">
        <v>25</v>
      </c>
      <c r="G63">
        <v>27</v>
      </c>
      <c r="H63">
        <v>3</v>
      </c>
      <c r="I63">
        <v>200</v>
      </c>
      <c r="J63">
        <v>0</v>
      </c>
      <c r="K63" t="s">
        <v>24</v>
      </c>
      <c r="L63">
        <v>4.4667000000000003</v>
      </c>
      <c r="M63">
        <v>3521.4807999999998</v>
      </c>
      <c r="N63">
        <v>268.53250000000003</v>
      </c>
      <c r="O63">
        <v>268.85309999999998</v>
      </c>
      <c r="P63" s="1">
        <f t="shared" si="0"/>
        <v>1.1924727667263508E-3</v>
      </c>
      <c r="Q63">
        <v>0</v>
      </c>
      <c r="R63">
        <v>803</v>
      </c>
      <c r="S63">
        <v>3870</v>
      </c>
      <c r="T63" t="s">
        <v>126</v>
      </c>
      <c r="U63" t="s">
        <v>128</v>
      </c>
      <c r="V63" s="2">
        <v>46109.675694444442</v>
      </c>
    </row>
    <row r="64" spans="1:22" x14ac:dyDescent="0.3">
      <c r="A64" t="s">
        <v>36</v>
      </c>
      <c r="B64" t="s">
        <v>49</v>
      </c>
      <c r="C64">
        <v>0</v>
      </c>
      <c r="D64">
        <v>0</v>
      </c>
      <c r="E64">
        <v>2</v>
      </c>
      <c r="F64">
        <v>25</v>
      </c>
      <c r="G64">
        <v>27</v>
      </c>
      <c r="H64">
        <v>3</v>
      </c>
      <c r="I64">
        <v>200</v>
      </c>
      <c r="J64">
        <v>0</v>
      </c>
      <c r="K64" t="s">
        <v>24</v>
      </c>
      <c r="L64">
        <v>4.4667000000000003</v>
      </c>
      <c r="M64">
        <v>2583.7683999999999</v>
      </c>
      <c r="N64">
        <v>268.53250000000003</v>
      </c>
      <c r="O64">
        <v>268.85309999999998</v>
      </c>
      <c r="P64" s="1">
        <f t="shared" si="0"/>
        <v>1.1924727667263508E-3</v>
      </c>
      <c r="Q64">
        <v>0</v>
      </c>
      <c r="R64">
        <v>89</v>
      </c>
      <c r="S64">
        <v>2421</v>
      </c>
      <c r="T64" t="s">
        <v>126</v>
      </c>
      <c r="U64" t="s">
        <v>129</v>
      </c>
      <c r="V64" s="2">
        <v>46109.705555555556</v>
      </c>
    </row>
    <row r="65" spans="1:22" x14ac:dyDescent="0.3">
      <c r="A65" t="s">
        <v>39</v>
      </c>
      <c r="B65" t="s">
        <v>49</v>
      </c>
      <c r="C65">
        <v>0</v>
      </c>
      <c r="D65">
        <v>0</v>
      </c>
      <c r="E65">
        <v>3</v>
      </c>
      <c r="F65">
        <v>25</v>
      </c>
      <c r="G65">
        <v>27</v>
      </c>
      <c r="H65">
        <v>3</v>
      </c>
      <c r="I65">
        <v>200</v>
      </c>
      <c r="J65">
        <v>0</v>
      </c>
      <c r="K65" t="s">
        <v>24</v>
      </c>
      <c r="L65">
        <v>4.4667000000000003</v>
      </c>
      <c r="M65">
        <v>1496.4501</v>
      </c>
      <c r="N65">
        <v>268.53250000000003</v>
      </c>
      <c r="O65">
        <v>291.20870000000002</v>
      </c>
      <c r="P65" s="1">
        <f t="shared" si="0"/>
        <v>7.7869239483573091E-2</v>
      </c>
      <c r="Q65">
        <v>0</v>
      </c>
      <c r="R65">
        <v>3207</v>
      </c>
      <c r="S65">
        <v>12054</v>
      </c>
      <c r="T65" t="s">
        <v>126</v>
      </c>
      <c r="U65" t="s">
        <v>130</v>
      </c>
      <c r="V65" s="2">
        <v>46109.722916666666</v>
      </c>
    </row>
    <row r="66" spans="1:22" x14ac:dyDescent="0.3">
      <c r="A66" t="s">
        <v>42</v>
      </c>
      <c r="B66" t="s">
        <v>49</v>
      </c>
      <c r="C66">
        <v>0</v>
      </c>
      <c r="D66">
        <v>0</v>
      </c>
      <c r="E66">
        <v>22</v>
      </c>
      <c r="F66">
        <v>25</v>
      </c>
      <c r="G66">
        <v>27</v>
      </c>
      <c r="H66">
        <v>3</v>
      </c>
      <c r="I66">
        <v>200</v>
      </c>
      <c r="J66">
        <v>0</v>
      </c>
      <c r="K66" t="s">
        <v>24</v>
      </c>
      <c r="L66">
        <v>4.4667000000000003</v>
      </c>
      <c r="M66">
        <v>3727.0758999999998</v>
      </c>
      <c r="N66">
        <v>268.53250000000003</v>
      </c>
      <c r="O66">
        <v>272.41309999999999</v>
      </c>
      <c r="P66" s="1">
        <f t="shared" si="0"/>
        <v>1.4245276750640695E-2</v>
      </c>
      <c r="Q66">
        <v>0</v>
      </c>
      <c r="R66">
        <v>64</v>
      </c>
      <c r="S66">
        <v>1431</v>
      </c>
      <c r="T66" t="s">
        <v>126</v>
      </c>
      <c r="U66" t="s">
        <v>131</v>
      </c>
      <c r="V66" s="2">
        <v>46109.765972222223</v>
      </c>
    </row>
    <row r="67" spans="1:22" x14ac:dyDescent="0.3">
      <c r="A67" t="s">
        <v>22</v>
      </c>
      <c r="B67" t="s">
        <v>38</v>
      </c>
      <c r="C67">
        <v>0</v>
      </c>
      <c r="D67">
        <v>0</v>
      </c>
      <c r="E67">
        <v>0</v>
      </c>
      <c r="F67">
        <v>25</v>
      </c>
      <c r="G67">
        <v>27</v>
      </c>
      <c r="H67">
        <v>3</v>
      </c>
      <c r="I67">
        <v>200</v>
      </c>
      <c r="J67">
        <v>0</v>
      </c>
      <c r="K67" t="s">
        <v>24</v>
      </c>
      <c r="L67">
        <v>1202.4695999999999</v>
      </c>
      <c r="M67">
        <v>3999.3000999999999</v>
      </c>
      <c r="N67">
        <v>268.9547</v>
      </c>
      <c r="O67">
        <v>295.17599999999999</v>
      </c>
      <c r="P67" s="1">
        <f t="shared" ref="P67:P117" si="7">(O67-N67)/O67</f>
        <v>8.8832764181369719E-2</v>
      </c>
      <c r="Q67">
        <v>0</v>
      </c>
      <c r="R67">
        <v>166</v>
      </c>
      <c r="S67">
        <v>2805</v>
      </c>
      <c r="T67" t="s">
        <v>132</v>
      </c>
      <c r="U67" t="s">
        <v>133</v>
      </c>
      <c r="V67" s="2">
        <v>46109.826388888891</v>
      </c>
    </row>
    <row r="68" spans="1:22" x14ac:dyDescent="0.3">
      <c r="A68" t="s">
        <v>29</v>
      </c>
      <c r="B68" t="s">
        <v>38</v>
      </c>
      <c r="C68">
        <v>0</v>
      </c>
      <c r="D68">
        <v>0</v>
      </c>
      <c r="E68">
        <v>1</v>
      </c>
      <c r="F68">
        <v>25</v>
      </c>
      <c r="G68">
        <v>27</v>
      </c>
      <c r="H68">
        <v>3</v>
      </c>
      <c r="I68">
        <v>200</v>
      </c>
      <c r="J68">
        <v>0</v>
      </c>
      <c r="K68" t="s">
        <v>24</v>
      </c>
      <c r="L68">
        <v>1202.4695999999999</v>
      </c>
      <c r="M68">
        <v>3663.3761</v>
      </c>
      <c r="N68">
        <v>268.9547</v>
      </c>
      <c r="O68">
        <v>316.62700000000001</v>
      </c>
      <c r="P68" s="1">
        <f t="shared" si="7"/>
        <v>0.15056296525564783</v>
      </c>
      <c r="Q68">
        <v>0</v>
      </c>
      <c r="R68">
        <v>918</v>
      </c>
      <c r="S68">
        <v>2691</v>
      </c>
      <c r="T68" t="s">
        <v>132</v>
      </c>
      <c r="U68" t="s">
        <v>134</v>
      </c>
      <c r="V68" s="2">
        <v>46109.868750000001</v>
      </c>
    </row>
    <row r="69" spans="1:22" x14ac:dyDescent="0.3">
      <c r="A69" t="s">
        <v>36</v>
      </c>
      <c r="B69" t="s">
        <v>38</v>
      </c>
      <c r="C69">
        <v>0</v>
      </c>
      <c r="D69">
        <v>0</v>
      </c>
      <c r="E69">
        <v>2</v>
      </c>
      <c r="F69">
        <v>25</v>
      </c>
      <c r="G69">
        <v>27</v>
      </c>
      <c r="H69">
        <v>3</v>
      </c>
      <c r="I69">
        <v>200</v>
      </c>
      <c r="J69">
        <v>0</v>
      </c>
      <c r="K69" t="s">
        <v>24</v>
      </c>
      <c r="L69">
        <v>1202.4695999999999</v>
      </c>
      <c r="M69">
        <v>3703.0246000000002</v>
      </c>
      <c r="N69">
        <v>268.9547</v>
      </c>
      <c r="O69">
        <v>282.2679</v>
      </c>
      <c r="P69" s="1">
        <f t="shared" si="7"/>
        <v>4.7165122211912852E-2</v>
      </c>
      <c r="Q69">
        <v>0</v>
      </c>
      <c r="R69">
        <v>119</v>
      </c>
      <c r="S69">
        <v>1872</v>
      </c>
      <c r="T69" t="s">
        <v>132</v>
      </c>
      <c r="U69" t="s">
        <v>135</v>
      </c>
      <c r="V69" s="2">
        <v>46109.911111111112</v>
      </c>
    </row>
    <row r="70" spans="1:22" x14ac:dyDescent="0.3">
      <c r="A70" t="s">
        <v>39</v>
      </c>
      <c r="B70" t="s">
        <v>38</v>
      </c>
      <c r="C70">
        <v>0</v>
      </c>
      <c r="D70">
        <v>0</v>
      </c>
      <c r="E70">
        <v>3</v>
      </c>
      <c r="F70">
        <v>25</v>
      </c>
      <c r="G70">
        <v>27</v>
      </c>
      <c r="H70">
        <v>3</v>
      </c>
      <c r="I70">
        <v>200</v>
      </c>
      <c r="J70">
        <v>0</v>
      </c>
      <c r="K70" t="s">
        <v>24</v>
      </c>
      <c r="L70">
        <v>1202.4695999999999</v>
      </c>
      <c r="M70">
        <v>3633.8024999999998</v>
      </c>
      <c r="N70">
        <v>268.9547</v>
      </c>
      <c r="O70">
        <f>N70</f>
        <v>268.9547</v>
      </c>
      <c r="P70" s="1">
        <f t="shared" si="7"/>
        <v>0</v>
      </c>
      <c r="R70">
        <v>0</v>
      </c>
      <c r="S70">
        <v>0</v>
      </c>
      <c r="T70" t="s">
        <v>132</v>
      </c>
      <c r="U70" t="s">
        <v>87</v>
      </c>
      <c r="V70" s="2">
        <v>46109.953472222223</v>
      </c>
    </row>
    <row r="71" spans="1:22" x14ac:dyDescent="0.3">
      <c r="A71" t="s">
        <v>42</v>
      </c>
      <c r="B71" t="s">
        <v>38</v>
      </c>
      <c r="C71">
        <v>0</v>
      </c>
      <c r="D71">
        <v>0</v>
      </c>
      <c r="E71">
        <v>22</v>
      </c>
      <c r="F71">
        <v>25</v>
      </c>
      <c r="G71">
        <v>27</v>
      </c>
      <c r="H71">
        <v>3</v>
      </c>
      <c r="I71">
        <v>200</v>
      </c>
      <c r="J71">
        <v>0</v>
      </c>
      <c r="K71" t="s">
        <v>24</v>
      </c>
      <c r="L71">
        <v>1202.4695999999999</v>
      </c>
      <c r="M71">
        <v>3985.5626000000002</v>
      </c>
      <c r="N71">
        <v>268.9547</v>
      </c>
      <c r="O71">
        <f>N71</f>
        <v>268.9547</v>
      </c>
      <c r="P71" s="1">
        <f t="shared" si="7"/>
        <v>0</v>
      </c>
      <c r="R71">
        <v>0</v>
      </c>
      <c r="S71">
        <v>0</v>
      </c>
      <c r="T71" t="s">
        <v>132</v>
      </c>
      <c r="U71" t="s">
        <v>87</v>
      </c>
      <c r="V71" s="2">
        <v>46109.999305555553</v>
      </c>
    </row>
    <row r="72" spans="1:22" x14ac:dyDescent="0.3">
      <c r="A72" t="s">
        <v>22</v>
      </c>
      <c r="B72" t="s">
        <v>64</v>
      </c>
      <c r="C72">
        <v>0</v>
      </c>
      <c r="D72">
        <v>0</v>
      </c>
      <c r="E72">
        <v>0</v>
      </c>
      <c r="F72">
        <v>25</v>
      </c>
      <c r="G72">
        <v>27</v>
      </c>
      <c r="H72">
        <v>3</v>
      </c>
      <c r="I72">
        <v>200</v>
      </c>
      <c r="J72">
        <v>0</v>
      </c>
      <c r="K72" t="s">
        <v>24</v>
      </c>
      <c r="L72">
        <v>1203.2062000000001</v>
      </c>
      <c r="M72">
        <v>3610.5866999999998</v>
      </c>
      <c r="N72">
        <v>268.53250000000003</v>
      </c>
      <c r="O72">
        <v>291.3544</v>
      </c>
      <c r="P72" s="1">
        <f t="shared" si="7"/>
        <v>7.8330377025368311E-2</v>
      </c>
      <c r="Q72">
        <v>0</v>
      </c>
      <c r="R72">
        <v>2880</v>
      </c>
      <c r="S72">
        <v>1878</v>
      </c>
      <c r="T72" t="s">
        <v>136</v>
      </c>
      <c r="U72" t="s">
        <v>137</v>
      </c>
      <c r="V72" s="2">
        <v>46110.055555555555</v>
      </c>
    </row>
    <row r="73" spans="1:22" x14ac:dyDescent="0.3">
      <c r="A73" t="s">
        <v>29</v>
      </c>
      <c r="B73" t="s">
        <v>64</v>
      </c>
      <c r="C73">
        <v>0</v>
      </c>
      <c r="D73">
        <v>0</v>
      </c>
      <c r="E73">
        <v>1</v>
      </c>
      <c r="F73">
        <v>25</v>
      </c>
      <c r="G73">
        <v>27</v>
      </c>
      <c r="H73">
        <v>3</v>
      </c>
      <c r="I73">
        <v>200</v>
      </c>
      <c r="J73">
        <v>0</v>
      </c>
      <c r="K73" t="s">
        <v>24</v>
      </c>
      <c r="L73">
        <v>1203.2062000000001</v>
      </c>
      <c r="M73">
        <v>3786.1477</v>
      </c>
      <c r="N73">
        <v>268.53250000000003</v>
      </c>
      <c r="O73">
        <v>296.2319</v>
      </c>
      <c r="P73" s="1">
        <f t="shared" si="7"/>
        <v>9.3505797316224104E-2</v>
      </c>
      <c r="Q73">
        <v>0</v>
      </c>
      <c r="R73">
        <v>43</v>
      </c>
      <c r="S73">
        <v>2376</v>
      </c>
      <c r="T73" t="s">
        <v>136</v>
      </c>
      <c r="U73" t="s">
        <v>138</v>
      </c>
      <c r="V73" s="2">
        <v>46110.099305555559</v>
      </c>
    </row>
    <row r="74" spans="1:22" x14ac:dyDescent="0.3">
      <c r="A74" t="s">
        <v>36</v>
      </c>
      <c r="B74" t="s">
        <v>64</v>
      </c>
      <c r="C74">
        <v>0</v>
      </c>
      <c r="D74">
        <v>0</v>
      </c>
      <c r="E74">
        <v>2</v>
      </c>
      <c r="F74">
        <v>25</v>
      </c>
      <c r="G74">
        <v>27</v>
      </c>
      <c r="H74">
        <v>3</v>
      </c>
      <c r="I74">
        <v>200</v>
      </c>
      <c r="J74">
        <v>0</v>
      </c>
      <c r="K74" t="s">
        <v>24</v>
      </c>
      <c r="L74">
        <v>1203.2062000000001</v>
      </c>
      <c r="M74">
        <v>4212.7161999999998</v>
      </c>
      <c r="N74">
        <v>268.53250000000003</v>
      </c>
      <c r="O74">
        <v>278.22140000000002</v>
      </c>
      <c r="P74" s="1">
        <f t="shared" si="7"/>
        <v>3.4824424001891979E-2</v>
      </c>
      <c r="Q74">
        <v>0</v>
      </c>
      <c r="R74">
        <v>261</v>
      </c>
      <c r="S74">
        <v>2247</v>
      </c>
      <c r="T74" t="s">
        <v>136</v>
      </c>
      <c r="U74" t="s">
        <v>139</v>
      </c>
      <c r="V74" s="2">
        <v>46110.147916666669</v>
      </c>
    </row>
    <row r="75" spans="1:22" x14ac:dyDescent="0.3">
      <c r="A75" t="s">
        <v>39</v>
      </c>
      <c r="B75" t="s">
        <v>64</v>
      </c>
      <c r="C75">
        <v>0</v>
      </c>
      <c r="D75">
        <v>0</v>
      </c>
      <c r="E75">
        <v>3</v>
      </c>
      <c r="F75">
        <v>25</v>
      </c>
      <c r="G75">
        <v>27</v>
      </c>
      <c r="H75">
        <v>3</v>
      </c>
      <c r="I75">
        <v>200</v>
      </c>
      <c r="J75">
        <v>0</v>
      </c>
      <c r="K75" t="s">
        <v>24</v>
      </c>
      <c r="L75">
        <v>1203.2062000000001</v>
      </c>
      <c r="M75">
        <v>3613.5972999999999</v>
      </c>
      <c r="N75">
        <v>268.53250000000003</v>
      </c>
      <c r="O75">
        <v>291.06240000000003</v>
      </c>
      <c r="P75" s="1">
        <f t="shared" si="7"/>
        <v>7.7405738425849566E-2</v>
      </c>
      <c r="Q75">
        <v>0</v>
      </c>
      <c r="R75">
        <v>1266</v>
      </c>
      <c r="S75">
        <v>8190</v>
      </c>
      <c r="T75" t="s">
        <v>136</v>
      </c>
      <c r="U75" t="s">
        <v>140</v>
      </c>
      <c r="V75" s="2">
        <v>46110.189583333333</v>
      </c>
    </row>
    <row r="76" spans="1:22" x14ac:dyDescent="0.3">
      <c r="A76" t="s">
        <v>42</v>
      </c>
      <c r="B76" t="s">
        <v>64</v>
      </c>
      <c r="C76">
        <v>0</v>
      </c>
      <c r="D76">
        <v>0</v>
      </c>
      <c r="E76">
        <v>22</v>
      </c>
      <c r="F76">
        <v>25</v>
      </c>
      <c r="G76">
        <v>27</v>
      </c>
      <c r="H76">
        <v>3</v>
      </c>
      <c r="I76">
        <v>200</v>
      </c>
      <c r="J76">
        <v>0</v>
      </c>
      <c r="K76" t="s">
        <v>24</v>
      </c>
      <c r="L76" s="4">
        <v>1203</v>
      </c>
      <c r="M76" s="4">
        <v>4555</v>
      </c>
      <c r="N76">
        <v>268.53250000000003</v>
      </c>
      <c r="O76">
        <f>N76</f>
        <v>268.53250000000003</v>
      </c>
      <c r="P76" s="1">
        <f t="shared" si="7"/>
        <v>0</v>
      </c>
      <c r="R76">
        <v>0</v>
      </c>
      <c r="S76">
        <v>0</v>
      </c>
      <c r="T76" t="s">
        <v>136</v>
      </c>
      <c r="U76" t="s">
        <v>87</v>
      </c>
      <c r="V76" s="2">
        <v>46110.242361111108</v>
      </c>
    </row>
    <row r="77" spans="1:22" x14ac:dyDescent="0.3">
      <c r="A77" t="s">
        <v>141</v>
      </c>
      <c r="B77" t="s">
        <v>142</v>
      </c>
      <c r="C77">
        <v>0</v>
      </c>
      <c r="D77">
        <v>0</v>
      </c>
      <c r="E77">
        <v>10</v>
      </c>
      <c r="F77">
        <v>25</v>
      </c>
      <c r="G77">
        <v>27</v>
      </c>
      <c r="H77">
        <v>3</v>
      </c>
      <c r="I77">
        <v>200</v>
      </c>
      <c r="J77">
        <v>0</v>
      </c>
      <c r="K77" t="s">
        <v>24</v>
      </c>
      <c r="L77">
        <v>137.84270000000001</v>
      </c>
      <c r="M77">
        <v>108.41459999999999</v>
      </c>
      <c r="N77">
        <v>191.81360000000001</v>
      </c>
      <c r="O77">
        <v>191.81360000000001</v>
      </c>
      <c r="P77" s="1">
        <f t="shared" si="7"/>
        <v>0</v>
      </c>
      <c r="Q77">
        <v>1</v>
      </c>
      <c r="R77">
        <v>1</v>
      </c>
      <c r="S77">
        <v>975</v>
      </c>
      <c r="T77" t="s">
        <v>143</v>
      </c>
      <c r="U77" t="s">
        <v>144</v>
      </c>
      <c r="V77" s="2">
        <v>46108.692361111112</v>
      </c>
    </row>
    <row r="78" spans="1:22" x14ac:dyDescent="0.3">
      <c r="A78" t="s">
        <v>141</v>
      </c>
      <c r="B78" t="s">
        <v>145</v>
      </c>
      <c r="C78">
        <v>0</v>
      </c>
      <c r="D78">
        <v>0</v>
      </c>
      <c r="E78">
        <v>10</v>
      </c>
      <c r="F78">
        <v>25</v>
      </c>
      <c r="G78">
        <v>27</v>
      </c>
      <c r="H78">
        <v>3</v>
      </c>
      <c r="I78">
        <v>200</v>
      </c>
      <c r="J78">
        <v>0</v>
      </c>
      <c r="K78" t="s">
        <v>24</v>
      </c>
      <c r="L78">
        <v>23.4754</v>
      </c>
      <c r="M78">
        <v>257.85230000000001</v>
      </c>
      <c r="N78">
        <v>190.73759999999999</v>
      </c>
      <c r="O78">
        <v>190.73759999999999</v>
      </c>
      <c r="P78" s="1">
        <f t="shared" si="7"/>
        <v>0</v>
      </c>
      <c r="Q78">
        <v>1</v>
      </c>
      <c r="R78">
        <v>1</v>
      </c>
      <c r="S78">
        <v>1506</v>
      </c>
      <c r="T78" t="s">
        <v>146</v>
      </c>
      <c r="U78" t="s">
        <v>147</v>
      </c>
      <c r="V78" s="2">
        <v>46108.695833333331</v>
      </c>
    </row>
    <row r="79" spans="1:22" x14ac:dyDescent="0.3">
      <c r="A79" t="s">
        <v>141</v>
      </c>
      <c r="B79" t="s">
        <v>148</v>
      </c>
      <c r="C79">
        <v>0</v>
      </c>
      <c r="D79">
        <v>0</v>
      </c>
      <c r="E79">
        <v>10</v>
      </c>
      <c r="F79">
        <v>25</v>
      </c>
      <c r="G79">
        <v>27</v>
      </c>
      <c r="H79">
        <v>3</v>
      </c>
      <c r="I79">
        <v>200</v>
      </c>
      <c r="J79">
        <v>0</v>
      </c>
      <c r="K79" t="s">
        <v>24</v>
      </c>
      <c r="L79">
        <v>1202.204</v>
      </c>
      <c r="M79">
        <v>639.08339999999998</v>
      </c>
      <c r="N79">
        <v>190.73759999999999</v>
      </c>
      <c r="O79">
        <v>190.73759999999999</v>
      </c>
      <c r="P79" s="1">
        <f t="shared" si="7"/>
        <v>0</v>
      </c>
      <c r="Q79">
        <v>1</v>
      </c>
      <c r="R79">
        <v>1</v>
      </c>
      <c r="S79">
        <v>1506</v>
      </c>
      <c r="T79" t="s">
        <v>149</v>
      </c>
      <c r="U79" t="s">
        <v>150</v>
      </c>
      <c r="V79" s="2">
        <v>46108.717361111114</v>
      </c>
    </row>
    <row r="80" spans="1:22" x14ac:dyDescent="0.3">
      <c r="A80" t="s">
        <v>141</v>
      </c>
      <c r="B80" t="s">
        <v>151</v>
      </c>
      <c r="C80">
        <v>0</v>
      </c>
      <c r="D80">
        <v>0</v>
      </c>
      <c r="E80">
        <v>10</v>
      </c>
      <c r="F80">
        <v>25</v>
      </c>
      <c r="G80">
        <v>27</v>
      </c>
      <c r="H80">
        <v>3</v>
      </c>
      <c r="I80">
        <v>200</v>
      </c>
      <c r="J80">
        <v>0</v>
      </c>
      <c r="K80" t="s">
        <v>24</v>
      </c>
      <c r="L80">
        <v>1202.261</v>
      </c>
      <c r="M80">
        <v>737.45619999999997</v>
      </c>
      <c r="N80">
        <v>187.4495</v>
      </c>
      <c r="O80">
        <v>187.4495</v>
      </c>
      <c r="P80" s="1">
        <f t="shared" si="7"/>
        <v>0</v>
      </c>
      <c r="Q80">
        <v>1</v>
      </c>
      <c r="R80">
        <v>1</v>
      </c>
      <c r="S80">
        <v>1506</v>
      </c>
      <c r="T80" t="s">
        <v>152</v>
      </c>
      <c r="U80" t="s">
        <v>152</v>
      </c>
      <c r="V80" s="2">
        <v>46108.739583333336</v>
      </c>
    </row>
    <row r="81" spans="1:22" x14ac:dyDescent="0.3">
      <c r="A81" t="s">
        <v>141</v>
      </c>
      <c r="B81" t="s">
        <v>153</v>
      </c>
      <c r="C81">
        <v>0</v>
      </c>
      <c r="D81">
        <v>0</v>
      </c>
      <c r="E81">
        <v>10</v>
      </c>
      <c r="F81">
        <v>25</v>
      </c>
      <c r="G81">
        <v>27</v>
      </c>
      <c r="H81">
        <v>3</v>
      </c>
      <c r="I81">
        <v>200</v>
      </c>
      <c r="J81">
        <v>0</v>
      </c>
      <c r="K81" t="s">
        <v>24</v>
      </c>
      <c r="L81">
        <v>1.2136</v>
      </c>
      <c r="M81">
        <v>273.01530000000002</v>
      </c>
      <c r="N81">
        <v>191.81360000000001</v>
      </c>
      <c r="O81">
        <v>191.81360000000001</v>
      </c>
      <c r="P81" s="1">
        <f t="shared" si="7"/>
        <v>0</v>
      </c>
      <c r="Q81">
        <v>1</v>
      </c>
      <c r="R81">
        <v>1</v>
      </c>
      <c r="S81">
        <v>1422</v>
      </c>
      <c r="T81" t="s">
        <v>154</v>
      </c>
      <c r="U81" t="s">
        <v>143</v>
      </c>
      <c r="V81" s="2">
        <v>46108.743055555555</v>
      </c>
    </row>
    <row r="82" spans="1:22" x14ac:dyDescent="0.3">
      <c r="A82" t="s">
        <v>141</v>
      </c>
      <c r="B82" t="s">
        <v>155</v>
      </c>
      <c r="C82">
        <v>0</v>
      </c>
      <c r="D82">
        <v>0</v>
      </c>
      <c r="E82">
        <v>10</v>
      </c>
      <c r="F82">
        <v>25</v>
      </c>
      <c r="G82">
        <v>27</v>
      </c>
      <c r="H82">
        <v>3</v>
      </c>
      <c r="I82">
        <v>200</v>
      </c>
      <c r="J82">
        <v>0</v>
      </c>
      <c r="K82" t="s">
        <v>24</v>
      </c>
      <c r="L82">
        <v>0.69059999999999999</v>
      </c>
      <c r="M82">
        <v>186.08019999999999</v>
      </c>
      <c r="N82">
        <v>191.81360000000001</v>
      </c>
      <c r="O82">
        <v>191.81360000000001</v>
      </c>
      <c r="P82" s="1">
        <f t="shared" si="7"/>
        <v>0</v>
      </c>
      <c r="Q82">
        <v>1</v>
      </c>
      <c r="R82">
        <v>1</v>
      </c>
      <c r="S82">
        <v>1077</v>
      </c>
      <c r="T82" t="s">
        <v>156</v>
      </c>
      <c r="U82" t="s">
        <v>157</v>
      </c>
      <c r="V82" s="2">
        <v>46108.745138888888</v>
      </c>
    </row>
    <row r="83" spans="1:22" x14ac:dyDescent="0.3">
      <c r="A83" t="s">
        <v>141</v>
      </c>
      <c r="B83" t="s">
        <v>158</v>
      </c>
      <c r="C83">
        <v>0</v>
      </c>
      <c r="D83">
        <v>0</v>
      </c>
      <c r="E83">
        <v>10</v>
      </c>
      <c r="F83">
        <v>25</v>
      </c>
      <c r="G83">
        <v>27</v>
      </c>
      <c r="H83">
        <v>3</v>
      </c>
      <c r="I83">
        <v>200</v>
      </c>
      <c r="J83">
        <v>0</v>
      </c>
      <c r="K83" t="s">
        <v>24</v>
      </c>
      <c r="L83">
        <v>1.2504999999999999</v>
      </c>
      <c r="M83">
        <v>240.09229999999999</v>
      </c>
      <c r="N83">
        <v>191.81360000000001</v>
      </c>
      <c r="O83">
        <v>191.81360000000001</v>
      </c>
      <c r="P83" s="1">
        <f t="shared" si="7"/>
        <v>0</v>
      </c>
      <c r="Q83">
        <v>1</v>
      </c>
      <c r="R83">
        <v>1</v>
      </c>
      <c r="S83">
        <v>1506</v>
      </c>
      <c r="T83" t="s">
        <v>157</v>
      </c>
      <c r="U83" t="s">
        <v>143</v>
      </c>
      <c r="V83" s="2">
        <v>46108.747916666667</v>
      </c>
    </row>
    <row r="84" spans="1:22" x14ac:dyDescent="0.3">
      <c r="A84" t="s">
        <v>141</v>
      </c>
      <c r="B84" t="s">
        <v>159</v>
      </c>
      <c r="C84">
        <v>0</v>
      </c>
      <c r="D84">
        <v>0</v>
      </c>
      <c r="E84">
        <v>10</v>
      </c>
      <c r="F84">
        <v>25</v>
      </c>
      <c r="G84">
        <v>27</v>
      </c>
      <c r="H84">
        <v>3</v>
      </c>
      <c r="I84">
        <v>200</v>
      </c>
      <c r="J84">
        <v>0</v>
      </c>
      <c r="K84" t="s">
        <v>24</v>
      </c>
      <c r="L84">
        <v>23.616900000000001</v>
      </c>
      <c r="M84">
        <v>375.6112</v>
      </c>
      <c r="N84">
        <v>191.81360000000001</v>
      </c>
      <c r="O84">
        <v>191.81360000000001</v>
      </c>
      <c r="P84" s="1">
        <f t="shared" si="7"/>
        <v>0</v>
      </c>
      <c r="Q84">
        <v>1</v>
      </c>
      <c r="R84">
        <v>1</v>
      </c>
      <c r="S84">
        <v>1506</v>
      </c>
      <c r="T84" t="s">
        <v>160</v>
      </c>
      <c r="U84" t="s">
        <v>154</v>
      </c>
      <c r="V84" s="2">
        <v>46108.75277777778</v>
      </c>
    </row>
    <row r="85" spans="1:22" x14ac:dyDescent="0.3">
      <c r="A85" t="s">
        <v>141</v>
      </c>
      <c r="B85" t="s">
        <v>54</v>
      </c>
      <c r="C85">
        <v>0</v>
      </c>
      <c r="D85">
        <v>0</v>
      </c>
      <c r="E85">
        <v>10</v>
      </c>
      <c r="F85">
        <v>25</v>
      </c>
      <c r="G85">
        <v>27</v>
      </c>
      <c r="H85">
        <v>3</v>
      </c>
      <c r="I85">
        <v>200</v>
      </c>
      <c r="J85">
        <v>0</v>
      </c>
      <c r="K85" t="s">
        <v>24</v>
      </c>
      <c r="L85">
        <v>1201.4670000000001</v>
      </c>
      <c r="M85">
        <v>152.20660000000001</v>
      </c>
      <c r="N85">
        <v>191.81360000000001</v>
      </c>
      <c r="O85">
        <v>198.30009999999999</v>
      </c>
      <c r="P85" s="1">
        <f t="shared" si="7"/>
        <v>3.2710523091011946E-2</v>
      </c>
      <c r="Q85">
        <v>0</v>
      </c>
      <c r="R85">
        <v>1</v>
      </c>
      <c r="S85">
        <v>1506</v>
      </c>
      <c r="T85" t="s">
        <v>144</v>
      </c>
      <c r="U85" t="s">
        <v>161</v>
      </c>
      <c r="V85" s="2">
        <v>46108.768055555556</v>
      </c>
    </row>
    <row r="86" spans="1:22" x14ac:dyDescent="0.3">
      <c r="A86" t="s">
        <v>141</v>
      </c>
      <c r="B86" t="s">
        <v>23</v>
      </c>
      <c r="C86">
        <v>0</v>
      </c>
      <c r="D86">
        <v>0</v>
      </c>
      <c r="E86">
        <v>10</v>
      </c>
      <c r="F86">
        <v>25</v>
      </c>
      <c r="G86">
        <v>27</v>
      </c>
      <c r="H86">
        <v>8</v>
      </c>
      <c r="I86">
        <v>200</v>
      </c>
      <c r="J86">
        <v>0</v>
      </c>
      <c r="K86" t="s">
        <v>24</v>
      </c>
      <c r="L86">
        <v>0.73960000000000004</v>
      </c>
      <c r="M86">
        <v>25.3171</v>
      </c>
      <c r="N86">
        <v>618.32989999999995</v>
      </c>
      <c r="O86">
        <v>618.32989999999995</v>
      </c>
      <c r="P86" s="1">
        <f t="shared" si="7"/>
        <v>0</v>
      </c>
      <c r="Q86">
        <v>1</v>
      </c>
      <c r="R86">
        <v>1</v>
      </c>
      <c r="S86">
        <v>1176</v>
      </c>
      <c r="T86" t="s">
        <v>25</v>
      </c>
      <c r="U86" t="s">
        <v>162</v>
      </c>
      <c r="V86" s="2">
        <v>46107.819444444445</v>
      </c>
    </row>
    <row r="87" spans="1:22" x14ac:dyDescent="0.3">
      <c r="A87" t="s">
        <v>141</v>
      </c>
      <c r="B87" t="s">
        <v>45</v>
      </c>
      <c r="C87">
        <v>0</v>
      </c>
      <c r="D87">
        <v>0</v>
      </c>
      <c r="E87">
        <v>10</v>
      </c>
      <c r="F87">
        <v>25</v>
      </c>
      <c r="G87">
        <v>27</v>
      </c>
      <c r="H87">
        <v>7</v>
      </c>
      <c r="I87">
        <v>200</v>
      </c>
      <c r="J87">
        <v>0</v>
      </c>
      <c r="K87" t="s">
        <v>24</v>
      </c>
      <c r="L87">
        <v>1200.9863</v>
      </c>
      <c r="M87">
        <v>1620.0409</v>
      </c>
      <c r="N87">
        <v>548.1078</v>
      </c>
      <c r="O87">
        <v>548.1078</v>
      </c>
      <c r="P87" s="1">
        <f t="shared" si="7"/>
        <v>0</v>
      </c>
      <c r="Q87">
        <v>1</v>
      </c>
      <c r="R87">
        <v>2585</v>
      </c>
      <c r="S87">
        <v>2170</v>
      </c>
      <c r="T87" t="s">
        <v>46</v>
      </c>
      <c r="U87" t="s">
        <v>163</v>
      </c>
      <c r="V87" s="2">
        <v>46107.852083333331</v>
      </c>
    </row>
    <row r="88" spans="1:22" x14ac:dyDescent="0.3">
      <c r="A88" t="s">
        <v>141</v>
      </c>
      <c r="B88" t="s">
        <v>57</v>
      </c>
      <c r="C88">
        <v>0</v>
      </c>
      <c r="D88">
        <v>0</v>
      </c>
      <c r="E88">
        <v>10</v>
      </c>
      <c r="F88">
        <v>25</v>
      </c>
      <c r="G88">
        <v>27</v>
      </c>
      <c r="H88">
        <v>5</v>
      </c>
      <c r="I88">
        <v>200</v>
      </c>
      <c r="J88">
        <v>0</v>
      </c>
      <c r="K88" t="s">
        <v>24</v>
      </c>
      <c r="L88">
        <v>1201.1936000000001</v>
      </c>
      <c r="M88">
        <v>185.24809999999999</v>
      </c>
      <c r="N88">
        <f t="shared" ref="N88:N96" si="8">N109</f>
        <v>454.6</v>
      </c>
      <c r="O88">
        <v>455.69819999999999</v>
      </c>
      <c r="P88" s="1">
        <f t="shared" si="7"/>
        <v>2.4099283253696483E-3</v>
      </c>
      <c r="Q88">
        <v>0</v>
      </c>
      <c r="R88">
        <v>1</v>
      </c>
      <c r="S88">
        <v>1525</v>
      </c>
      <c r="T88" t="s">
        <v>58</v>
      </c>
      <c r="U88" t="s">
        <v>164</v>
      </c>
      <c r="V88" s="2">
        <v>46107.868055555555</v>
      </c>
    </row>
    <row r="89" spans="1:22" x14ac:dyDescent="0.3">
      <c r="A89" t="s">
        <v>141</v>
      </c>
      <c r="B89" t="s">
        <v>66</v>
      </c>
      <c r="C89">
        <v>0</v>
      </c>
      <c r="D89">
        <v>0</v>
      </c>
      <c r="E89">
        <v>10</v>
      </c>
      <c r="F89">
        <v>25</v>
      </c>
      <c r="G89">
        <v>27</v>
      </c>
      <c r="H89">
        <v>4</v>
      </c>
      <c r="I89">
        <v>200</v>
      </c>
      <c r="J89">
        <v>0</v>
      </c>
      <c r="K89" t="s">
        <v>24</v>
      </c>
      <c r="L89">
        <v>1201.6167</v>
      </c>
      <c r="M89">
        <v>162.71610000000001</v>
      </c>
      <c r="N89">
        <f t="shared" si="8"/>
        <v>416.9</v>
      </c>
      <c r="O89">
        <v>417.96120000000002</v>
      </c>
      <c r="P89" s="1">
        <f t="shared" si="7"/>
        <v>2.5389916575989401E-3</v>
      </c>
      <c r="Q89">
        <v>0</v>
      </c>
      <c r="R89">
        <v>3</v>
      </c>
      <c r="S89">
        <v>1732</v>
      </c>
      <c r="T89" t="s">
        <v>67</v>
      </c>
      <c r="U89" t="s">
        <v>165</v>
      </c>
      <c r="V89" s="2">
        <v>46107.884027777778</v>
      </c>
    </row>
    <row r="90" spans="1:22" x14ac:dyDescent="0.3">
      <c r="A90" t="s">
        <v>141</v>
      </c>
      <c r="B90" t="s">
        <v>74</v>
      </c>
      <c r="C90">
        <v>0</v>
      </c>
      <c r="D90">
        <v>0</v>
      </c>
      <c r="E90">
        <v>10</v>
      </c>
      <c r="F90">
        <v>25</v>
      </c>
      <c r="G90">
        <v>27</v>
      </c>
      <c r="H90">
        <v>6</v>
      </c>
      <c r="I90">
        <v>200</v>
      </c>
      <c r="J90">
        <v>0</v>
      </c>
      <c r="K90" t="s">
        <v>24</v>
      </c>
      <c r="L90">
        <v>17.6753</v>
      </c>
      <c r="M90">
        <v>45.564900000000002</v>
      </c>
      <c r="N90">
        <f t="shared" si="8"/>
        <v>530.50000000000011</v>
      </c>
      <c r="O90">
        <v>531.53859999999997</v>
      </c>
      <c r="P90" s="1">
        <f t="shared" si="7"/>
        <v>1.9539502869591416E-3</v>
      </c>
      <c r="Q90">
        <v>1</v>
      </c>
      <c r="R90">
        <v>1</v>
      </c>
      <c r="S90">
        <v>1242</v>
      </c>
      <c r="T90" t="s">
        <v>75</v>
      </c>
      <c r="U90" t="s">
        <v>166</v>
      </c>
      <c r="V90" s="2">
        <v>46107.884722222225</v>
      </c>
    </row>
    <row r="91" spans="1:22" x14ac:dyDescent="0.3">
      <c r="A91" t="s">
        <v>141</v>
      </c>
      <c r="B91" t="s">
        <v>81</v>
      </c>
      <c r="C91">
        <v>0</v>
      </c>
      <c r="D91">
        <v>0</v>
      </c>
      <c r="E91">
        <v>10</v>
      </c>
      <c r="F91">
        <v>25</v>
      </c>
      <c r="G91">
        <v>27</v>
      </c>
      <c r="H91">
        <v>5</v>
      </c>
      <c r="I91">
        <v>200</v>
      </c>
      <c r="J91">
        <v>0</v>
      </c>
      <c r="K91" t="s">
        <v>24</v>
      </c>
      <c r="L91">
        <v>1096.8556000000001</v>
      </c>
      <c r="M91">
        <v>896.23320000000001</v>
      </c>
      <c r="N91">
        <f t="shared" si="8"/>
        <v>465.4</v>
      </c>
      <c r="O91">
        <v>466.48020000000002</v>
      </c>
      <c r="P91" s="1">
        <f t="shared" si="7"/>
        <v>2.3156395491170847E-3</v>
      </c>
      <c r="Q91">
        <v>1</v>
      </c>
      <c r="R91">
        <v>135</v>
      </c>
      <c r="S91">
        <v>2515</v>
      </c>
      <c r="T91" t="s">
        <v>82</v>
      </c>
      <c r="U91" t="s">
        <v>167</v>
      </c>
      <c r="V91" s="2">
        <v>46107.907638888886</v>
      </c>
    </row>
    <row r="92" spans="1:22" x14ac:dyDescent="0.3">
      <c r="A92" t="s">
        <v>141</v>
      </c>
      <c r="B92" t="s">
        <v>88</v>
      </c>
      <c r="C92">
        <v>0</v>
      </c>
      <c r="D92">
        <v>0</v>
      </c>
      <c r="E92">
        <v>10</v>
      </c>
      <c r="F92">
        <v>25</v>
      </c>
      <c r="G92">
        <v>27</v>
      </c>
      <c r="H92">
        <v>4</v>
      </c>
      <c r="I92">
        <v>200</v>
      </c>
      <c r="J92">
        <v>0</v>
      </c>
      <c r="K92" t="s">
        <v>24</v>
      </c>
      <c r="L92">
        <v>1201.4686999999999</v>
      </c>
      <c r="M92">
        <v>191.86699999999999</v>
      </c>
      <c r="N92">
        <f t="shared" si="8"/>
        <v>424.3</v>
      </c>
      <c r="O92">
        <v>425.26850000000002</v>
      </c>
      <c r="P92" s="1">
        <f t="shared" si="7"/>
        <v>2.2773847580998966E-3</v>
      </c>
      <c r="Q92">
        <v>0</v>
      </c>
      <c r="R92">
        <v>1</v>
      </c>
      <c r="S92">
        <v>1816</v>
      </c>
      <c r="T92" t="s">
        <v>89</v>
      </c>
      <c r="U92" t="s">
        <v>168</v>
      </c>
      <c r="V92" s="2">
        <v>46107.923611111109</v>
      </c>
    </row>
    <row r="93" spans="1:22" x14ac:dyDescent="0.3">
      <c r="A93" t="s">
        <v>141</v>
      </c>
      <c r="B93" t="s">
        <v>94</v>
      </c>
      <c r="C93">
        <v>0</v>
      </c>
      <c r="D93">
        <v>0</v>
      </c>
      <c r="E93">
        <v>10</v>
      </c>
      <c r="F93">
        <v>25</v>
      </c>
      <c r="G93">
        <v>27</v>
      </c>
      <c r="H93">
        <v>4</v>
      </c>
      <c r="I93">
        <v>200</v>
      </c>
      <c r="J93">
        <v>0</v>
      </c>
      <c r="K93" t="s">
        <v>24</v>
      </c>
      <c r="L93">
        <v>1201.4431999999999</v>
      </c>
      <c r="M93">
        <v>545.2921</v>
      </c>
      <c r="N93">
        <f t="shared" si="8"/>
        <v>397.3</v>
      </c>
      <c r="O93">
        <v>398.29469999999998</v>
      </c>
      <c r="P93" s="1">
        <f t="shared" si="7"/>
        <v>2.4973970278790209E-3</v>
      </c>
      <c r="Q93">
        <v>1</v>
      </c>
      <c r="R93">
        <v>25</v>
      </c>
      <c r="S93">
        <v>1920</v>
      </c>
      <c r="T93" t="s">
        <v>95</v>
      </c>
      <c r="U93" t="s">
        <v>169</v>
      </c>
      <c r="V93" s="2">
        <v>46107.944444444445</v>
      </c>
    </row>
    <row r="94" spans="1:22" x14ac:dyDescent="0.3">
      <c r="A94" t="s">
        <v>141</v>
      </c>
      <c r="B94" t="s">
        <v>101</v>
      </c>
      <c r="C94">
        <v>0</v>
      </c>
      <c r="D94">
        <v>0</v>
      </c>
      <c r="E94">
        <v>10</v>
      </c>
      <c r="F94">
        <v>25</v>
      </c>
      <c r="G94">
        <v>27</v>
      </c>
      <c r="H94">
        <v>5</v>
      </c>
      <c r="I94">
        <v>200</v>
      </c>
      <c r="J94">
        <v>0</v>
      </c>
      <c r="K94" t="s">
        <v>24</v>
      </c>
      <c r="L94">
        <v>69.622900000000001</v>
      </c>
      <c r="M94">
        <v>64.655000000000001</v>
      </c>
      <c r="N94">
        <f t="shared" si="8"/>
        <v>441.3</v>
      </c>
      <c r="O94">
        <v>442.62520000000001</v>
      </c>
      <c r="P94" s="1">
        <f t="shared" si="7"/>
        <v>2.9939551566426749E-3</v>
      </c>
      <c r="Q94">
        <v>1</v>
      </c>
      <c r="R94">
        <v>1</v>
      </c>
      <c r="S94">
        <v>1730</v>
      </c>
      <c r="T94" t="s">
        <v>102</v>
      </c>
      <c r="U94" t="s">
        <v>170</v>
      </c>
      <c r="V94" s="2">
        <v>46107.945833333331</v>
      </c>
    </row>
    <row r="95" spans="1:22" x14ac:dyDescent="0.3">
      <c r="A95" t="s">
        <v>141</v>
      </c>
      <c r="B95" t="s">
        <v>108</v>
      </c>
      <c r="C95">
        <v>0</v>
      </c>
      <c r="D95">
        <v>0</v>
      </c>
      <c r="E95">
        <v>10</v>
      </c>
      <c r="F95">
        <v>25</v>
      </c>
      <c r="G95">
        <v>27</v>
      </c>
      <c r="H95">
        <v>4</v>
      </c>
      <c r="I95">
        <v>200</v>
      </c>
      <c r="J95">
        <v>0</v>
      </c>
      <c r="K95" t="s">
        <v>24</v>
      </c>
      <c r="L95">
        <v>1201.7543000000001</v>
      </c>
      <c r="M95">
        <v>1085.3520000000001</v>
      </c>
      <c r="N95">
        <f t="shared" si="8"/>
        <v>444.8</v>
      </c>
      <c r="O95">
        <v>445.87220000000002</v>
      </c>
      <c r="P95" s="1">
        <f t="shared" si="7"/>
        <v>2.4047249413621423E-3</v>
      </c>
      <c r="R95">
        <v>91</v>
      </c>
      <c r="S95">
        <v>2664</v>
      </c>
      <c r="T95" t="s">
        <v>109</v>
      </c>
      <c r="U95" t="s">
        <v>171</v>
      </c>
      <c r="V95" s="2">
        <v>46107.972222222219</v>
      </c>
    </row>
    <row r="96" spans="1:22" x14ac:dyDescent="0.3">
      <c r="A96" t="s">
        <v>141</v>
      </c>
      <c r="B96" t="s">
        <v>115</v>
      </c>
      <c r="C96">
        <v>0</v>
      </c>
      <c r="D96">
        <v>0</v>
      </c>
      <c r="E96">
        <v>10</v>
      </c>
      <c r="F96">
        <v>25</v>
      </c>
      <c r="G96">
        <v>27</v>
      </c>
      <c r="H96">
        <v>4</v>
      </c>
      <c r="I96">
        <v>200</v>
      </c>
      <c r="J96">
        <v>0</v>
      </c>
      <c r="K96" t="s">
        <v>24</v>
      </c>
      <c r="L96">
        <v>1201.4562000000001</v>
      </c>
      <c r="M96">
        <v>313.93610000000001</v>
      </c>
      <c r="N96">
        <f t="shared" si="8"/>
        <v>428.8</v>
      </c>
      <c r="O96">
        <v>429.6968</v>
      </c>
      <c r="P96" s="1">
        <f t="shared" si="7"/>
        <v>2.0870530104017174E-3</v>
      </c>
      <c r="Q96">
        <v>0</v>
      </c>
      <c r="R96">
        <v>29</v>
      </c>
      <c r="S96">
        <v>1988</v>
      </c>
      <c r="T96" t="s">
        <v>116</v>
      </c>
      <c r="U96" t="s">
        <v>172</v>
      </c>
      <c r="V96" s="2">
        <v>46107.989583333336</v>
      </c>
    </row>
    <row r="97" spans="1:50" x14ac:dyDescent="0.3">
      <c r="A97" t="s">
        <v>141</v>
      </c>
      <c r="B97" t="s">
        <v>71</v>
      </c>
      <c r="C97">
        <v>0</v>
      </c>
      <c r="D97">
        <v>0</v>
      </c>
      <c r="E97">
        <v>10</v>
      </c>
      <c r="F97">
        <v>25</v>
      </c>
      <c r="G97">
        <v>27</v>
      </c>
      <c r="H97">
        <v>4</v>
      </c>
      <c r="I97">
        <v>200</v>
      </c>
      <c r="J97">
        <v>0</v>
      </c>
      <c r="K97" t="s">
        <v>24</v>
      </c>
      <c r="L97">
        <v>1201.4874</v>
      </c>
      <c r="M97">
        <v>3346.43</v>
      </c>
      <c r="N97">
        <v>394.10129999999998</v>
      </c>
      <c r="O97">
        <v>396.98379999999997</v>
      </c>
      <c r="P97" s="1">
        <f t="shared" si="7"/>
        <v>7.2610015824323146E-3</v>
      </c>
      <c r="Q97">
        <v>0</v>
      </c>
      <c r="R97">
        <v>559</v>
      </c>
      <c r="S97">
        <v>3936</v>
      </c>
      <c r="T97" t="s">
        <v>122</v>
      </c>
      <c r="U97" t="s">
        <v>173</v>
      </c>
      <c r="V97" s="2">
        <v>46108.042361111111</v>
      </c>
    </row>
    <row r="98" spans="1:50" x14ac:dyDescent="0.3">
      <c r="A98" t="s">
        <v>174</v>
      </c>
      <c r="B98" t="s">
        <v>142</v>
      </c>
      <c r="C98">
        <v>0</v>
      </c>
      <c r="E98">
        <f>33</f>
        <v>33</v>
      </c>
      <c r="M98">
        <v>17.40220141410828</v>
      </c>
      <c r="N98">
        <v>191.3</v>
      </c>
      <c r="O98">
        <v>191.3</v>
      </c>
      <c r="P98" s="1">
        <f t="shared" si="7"/>
        <v>0</v>
      </c>
    </row>
    <row r="99" spans="1:50" x14ac:dyDescent="0.3">
      <c r="A99" t="s">
        <v>175</v>
      </c>
      <c r="B99" t="s">
        <v>145</v>
      </c>
      <c r="C99">
        <v>0</v>
      </c>
      <c r="E99">
        <f>E98</f>
        <v>33</v>
      </c>
      <c r="M99">
        <v>182.77541708946231</v>
      </c>
      <c r="N99">
        <v>190.3</v>
      </c>
      <c r="O99">
        <v>190.3</v>
      </c>
      <c r="P99" s="1">
        <f t="shared" si="7"/>
        <v>0</v>
      </c>
      <c r="AC99" t="s">
        <v>141</v>
      </c>
      <c r="AD99" t="s">
        <v>176</v>
      </c>
      <c r="AE99">
        <v>0</v>
      </c>
      <c r="AF99">
        <v>0</v>
      </c>
      <c r="AG99">
        <v>10</v>
      </c>
      <c r="AH99">
        <v>25</v>
      </c>
      <c r="AI99">
        <v>27</v>
      </c>
      <c r="AJ99">
        <v>3</v>
      </c>
      <c r="AK99">
        <v>200</v>
      </c>
      <c r="AL99">
        <v>0</v>
      </c>
      <c r="AM99" t="s">
        <v>24</v>
      </c>
      <c r="AN99">
        <v>0.2661</v>
      </c>
      <c r="AO99">
        <v>108</v>
      </c>
      <c r="AP99" s="4">
        <v>1918136</v>
      </c>
      <c r="AQ99" s="4">
        <v>1918136</v>
      </c>
      <c r="AR99" t="s">
        <v>177</v>
      </c>
      <c r="AS99">
        <v>1</v>
      </c>
      <c r="AT99">
        <v>1</v>
      </c>
      <c r="AU99">
        <v>975</v>
      </c>
      <c r="AV99" t="s">
        <v>143</v>
      </c>
      <c r="AW99" t="s">
        <v>144</v>
      </c>
      <c r="AX99" s="2">
        <v>46113.821527777778</v>
      </c>
    </row>
    <row r="100" spans="1:50" x14ac:dyDescent="0.3">
      <c r="A100" t="s">
        <v>178</v>
      </c>
      <c r="B100" t="s">
        <v>148</v>
      </c>
      <c r="C100">
        <v>0</v>
      </c>
      <c r="E100">
        <f t="shared" ref="E100:E117" si="9">E99</f>
        <v>33</v>
      </c>
      <c r="M100">
        <v>334.36823391914368</v>
      </c>
      <c r="N100">
        <v>190.3</v>
      </c>
      <c r="O100">
        <v>190.3</v>
      </c>
      <c r="P100" s="1">
        <f t="shared" si="7"/>
        <v>0</v>
      </c>
      <c r="AC100" t="s">
        <v>141</v>
      </c>
      <c r="AD100" t="s">
        <v>179</v>
      </c>
      <c r="AE100">
        <v>0</v>
      </c>
      <c r="AF100">
        <v>0</v>
      </c>
      <c r="AG100">
        <v>10</v>
      </c>
      <c r="AH100">
        <v>25</v>
      </c>
      <c r="AI100">
        <v>27</v>
      </c>
      <c r="AJ100">
        <v>3</v>
      </c>
      <c r="AK100">
        <v>200</v>
      </c>
      <c r="AL100">
        <v>0</v>
      </c>
      <c r="AM100" t="s">
        <v>24</v>
      </c>
      <c r="AN100" s="4">
        <v>19595</v>
      </c>
      <c r="AO100">
        <v>828</v>
      </c>
      <c r="AP100" s="4">
        <v>1907376</v>
      </c>
      <c r="AQ100" s="4">
        <v>1907376</v>
      </c>
      <c r="AR100" t="s">
        <v>177</v>
      </c>
      <c r="AS100">
        <v>1</v>
      </c>
      <c r="AT100">
        <v>1</v>
      </c>
      <c r="AU100">
        <v>2391</v>
      </c>
      <c r="AV100" t="s">
        <v>146</v>
      </c>
      <c r="AW100" t="s">
        <v>147</v>
      </c>
      <c r="AX100" s="2">
        <v>46113.831250000003</v>
      </c>
    </row>
    <row r="101" spans="1:50" x14ac:dyDescent="0.3">
      <c r="A101" t="s">
        <v>180</v>
      </c>
      <c r="B101" t="s">
        <v>151</v>
      </c>
      <c r="C101">
        <v>0</v>
      </c>
      <c r="E101">
        <f t="shared" si="9"/>
        <v>33</v>
      </c>
      <c r="M101">
        <v>527.53378462791443</v>
      </c>
      <c r="N101">
        <v>186.9</v>
      </c>
      <c r="O101">
        <v>186.9</v>
      </c>
      <c r="P101" s="1">
        <f t="shared" si="7"/>
        <v>0</v>
      </c>
      <c r="AC101" t="s">
        <v>141</v>
      </c>
      <c r="AD101" t="s">
        <v>181</v>
      </c>
      <c r="AE101">
        <v>0</v>
      </c>
      <c r="AF101">
        <v>0</v>
      </c>
      <c r="AG101">
        <v>10</v>
      </c>
      <c r="AH101">
        <v>25</v>
      </c>
      <c r="AI101">
        <v>27</v>
      </c>
      <c r="AJ101">
        <v>3</v>
      </c>
      <c r="AK101">
        <v>200</v>
      </c>
      <c r="AL101">
        <v>0</v>
      </c>
      <c r="AM101" t="s">
        <v>24</v>
      </c>
      <c r="AN101" s="4">
        <v>12014904</v>
      </c>
      <c r="AO101" s="4">
        <v>1009</v>
      </c>
      <c r="AP101" s="4">
        <v>1907376</v>
      </c>
      <c r="AQ101" s="4">
        <v>1907376</v>
      </c>
      <c r="AR101" t="s">
        <v>177</v>
      </c>
      <c r="AS101">
        <v>1</v>
      </c>
      <c r="AT101">
        <v>1</v>
      </c>
      <c r="AU101">
        <v>2328</v>
      </c>
      <c r="AV101" t="s">
        <v>149</v>
      </c>
      <c r="AW101" t="s">
        <v>146</v>
      </c>
      <c r="AX101" s="2">
        <v>46113.856944444444</v>
      </c>
    </row>
    <row r="102" spans="1:50" x14ac:dyDescent="0.3">
      <c r="A102" t="s">
        <v>182</v>
      </c>
      <c r="B102" t="s">
        <v>153</v>
      </c>
      <c r="C102">
        <v>0</v>
      </c>
      <c r="E102">
        <f t="shared" si="9"/>
        <v>33</v>
      </c>
      <c r="M102">
        <v>59.830489158630371</v>
      </c>
      <c r="N102">
        <v>191.3</v>
      </c>
      <c r="O102">
        <v>191.3</v>
      </c>
      <c r="P102" s="1">
        <f t="shared" si="7"/>
        <v>0</v>
      </c>
      <c r="AC102" t="s">
        <v>141</v>
      </c>
      <c r="AD102" t="s">
        <v>183</v>
      </c>
      <c r="AE102">
        <v>0</v>
      </c>
      <c r="AF102">
        <v>0</v>
      </c>
      <c r="AG102">
        <v>10</v>
      </c>
      <c r="AH102">
        <v>25</v>
      </c>
      <c r="AI102">
        <v>27</v>
      </c>
      <c r="AJ102">
        <v>3</v>
      </c>
      <c r="AK102">
        <v>200</v>
      </c>
      <c r="AL102">
        <v>0</v>
      </c>
      <c r="AM102" t="s">
        <v>24</v>
      </c>
      <c r="AN102" s="4">
        <v>12019546</v>
      </c>
      <c r="AO102">
        <v>518</v>
      </c>
      <c r="AP102" s="4">
        <v>1874495</v>
      </c>
      <c r="AQ102" s="4">
        <v>1907412</v>
      </c>
      <c r="AR102" s="4">
        <f>(AQ102-AP102)/AQ102</f>
        <v>1.7257414758846016E-2</v>
      </c>
      <c r="AS102">
        <v>0</v>
      </c>
      <c r="AT102">
        <v>1</v>
      </c>
      <c r="AU102">
        <v>2121</v>
      </c>
      <c r="AV102" t="s">
        <v>152</v>
      </c>
      <c r="AW102" t="s">
        <v>184</v>
      </c>
      <c r="AX102" s="2">
        <v>46113.876388888886</v>
      </c>
    </row>
    <row r="103" spans="1:50" x14ac:dyDescent="0.3">
      <c r="A103" t="s">
        <v>185</v>
      </c>
      <c r="B103" t="s">
        <v>155</v>
      </c>
      <c r="C103">
        <v>0</v>
      </c>
      <c r="E103">
        <f t="shared" si="9"/>
        <v>33</v>
      </c>
      <c r="M103">
        <v>85.725864171981812</v>
      </c>
      <c r="N103">
        <v>191.3</v>
      </c>
      <c r="O103">
        <v>191.3</v>
      </c>
      <c r="P103" s="1">
        <f t="shared" si="7"/>
        <v>0</v>
      </c>
      <c r="AC103" t="s">
        <v>141</v>
      </c>
      <c r="AD103" t="s">
        <v>186</v>
      </c>
      <c r="AE103">
        <v>0</v>
      </c>
      <c r="AF103">
        <v>0</v>
      </c>
      <c r="AG103">
        <v>10</v>
      </c>
      <c r="AH103">
        <v>25</v>
      </c>
      <c r="AI103">
        <v>27</v>
      </c>
      <c r="AJ103">
        <v>3</v>
      </c>
      <c r="AK103">
        <v>200</v>
      </c>
      <c r="AL103">
        <v>0</v>
      </c>
      <c r="AM103" t="s">
        <v>24</v>
      </c>
      <c r="AN103">
        <v>0.61839999999999995</v>
      </c>
      <c r="AO103">
        <v>684</v>
      </c>
      <c r="AP103" s="4">
        <v>1918136</v>
      </c>
      <c r="AQ103" s="4">
        <v>1918136</v>
      </c>
      <c r="AR103" t="s">
        <v>177</v>
      </c>
      <c r="AS103">
        <v>1</v>
      </c>
      <c r="AT103">
        <v>1</v>
      </c>
      <c r="AU103">
        <v>2424</v>
      </c>
      <c r="AV103" t="s">
        <v>154</v>
      </c>
      <c r="AW103" t="s">
        <v>157</v>
      </c>
      <c r="AX103" s="2">
        <v>46113.884722222225</v>
      </c>
    </row>
    <row r="104" spans="1:50" x14ac:dyDescent="0.3">
      <c r="A104" t="s">
        <v>187</v>
      </c>
      <c r="B104" t="s">
        <v>158</v>
      </c>
      <c r="C104">
        <v>0</v>
      </c>
      <c r="E104">
        <f t="shared" si="9"/>
        <v>33</v>
      </c>
      <c r="M104">
        <v>16.68877029418945</v>
      </c>
      <c r="N104">
        <v>191.3</v>
      </c>
      <c r="O104">
        <v>191.3</v>
      </c>
      <c r="P104" s="1">
        <f t="shared" si="7"/>
        <v>0</v>
      </c>
      <c r="AC104" t="s">
        <v>141</v>
      </c>
      <c r="AD104" t="s">
        <v>188</v>
      </c>
      <c r="AE104">
        <v>0</v>
      </c>
      <c r="AF104">
        <v>0</v>
      </c>
      <c r="AG104">
        <v>10</v>
      </c>
      <c r="AH104">
        <v>25</v>
      </c>
      <c r="AI104">
        <v>27</v>
      </c>
      <c r="AJ104">
        <v>3</v>
      </c>
      <c r="AK104">
        <v>200</v>
      </c>
      <c r="AL104">
        <v>0</v>
      </c>
      <c r="AM104" t="s">
        <v>24</v>
      </c>
      <c r="AN104">
        <v>0.30719999999999997</v>
      </c>
      <c r="AO104" s="4">
        <v>4181565</v>
      </c>
      <c r="AP104" s="4">
        <v>1918136</v>
      </c>
      <c r="AQ104" s="4">
        <v>1918136</v>
      </c>
      <c r="AR104" t="s">
        <v>177</v>
      </c>
      <c r="AS104">
        <v>1</v>
      </c>
      <c r="AT104">
        <v>1</v>
      </c>
      <c r="AU104">
        <v>1686</v>
      </c>
      <c r="AV104" t="s">
        <v>156</v>
      </c>
      <c r="AW104" t="s">
        <v>143</v>
      </c>
      <c r="AX104" s="2">
        <v>46113.88958333333</v>
      </c>
    </row>
    <row r="105" spans="1:50" x14ac:dyDescent="0.3">
      <c r="A105" t="s">
        <v>189</v>
      </c>
      <c r="B105" t="s">
        <v>159</v>
      </c>
      <c r="C105">
        <v>0</v>
      </c>
      <c r="E105">
        <f t="shared" si="9"/>
        <v>33</v>
      </c>
      <c r="M105">
        <v>411.63032484054571</v>
      </c>
      <c r="N105">
        <v>198.1</v>
      </c>
      <c r="O105">
        <v>198.1</v>
      </c>
      <c r="P105" s="1">
        <f t="shared" si="7"/>
        <v>0</v>
      </c>
      <c r="AC105" t="s">
        <v>141</v>
      </c>
      <c r="AD105" t="s">
        <v>190</v>
      </c>
      <c r="AE105">
        <v>0</v>
      </c>
      <c r="AF105">
        <v>0</v>
      </c>
      <c r="AG105">
        <v>10</v>
      </c>
      <c r="AH105">
        <v>25</v>
      </c>
      <c r="AI105">
        <v>27</v>
      </c>
      <c r="AJ105">
        <v>3</v>
      </c>
      <c r="AK105">
        <v>200</v>
      </c>
      <c r="AL105">
        <v>0</v>
      </c>
      <c r="AM105" t="s">
        <v>24</v>
      </c>
      <c r="AN105">
        <v>0.61609999999999998</v>
      </c>
      <c r="AO105" s="4">
        <v>3402205</v>
      </c>
      <c r="AP105" s="4">
        <v>1918136</v>
      </c>
      <c r="AQ105" s="4">
        <v>1918136</v>
      </c>
      <c r="AR105" t="s">
        <v>177</v>
      </c>
      <c r="AS105">
        <v>1</v>
      </c>
      <c r="AT105">
        <v>1</v>
      </c>
      <c r="AU105">
        <v>2040</v>
      </c>
      <c r="AV105" t="s">
        <v>157</v>
      </c>
      <c r="AW105" t="s">
        <v>143</v>
      </c>
      <c r="AX105" s="2">
        <v>46113.893750000003</v>
      </c>
    </row>
    <row r="106" spans="1:50" x14ac:dyDescent="0.3">
      <c r="A106" t="s">
        <v>191</v>
      </c>
      <c r="B106" t="s">
        <v>54</v>
      </c>
      <c r="C106">
        <v>0</v>
      </c>
      <c r="E106">
        <f t="shared" si="9"/>
        <v>33</v>
      </c>
      <c r="M106">
        <v>1249.2095787525179</v>
      </c>
      <c r="N106">
        <v>191.3</v>
      </c>
      <c r="O106">
        <v>191.3</v>
      </c>
      <c r="P106" s="1">
        <f t="shared" si="7"/>
        <v>0</v>
      </c>
      <c r="AC106" t="s">
        <v>141</v>
      </c>
      <c r="AD106" t="s">
        <v>192</v>
      </c>
      <c r="AE106">
        <v>0</v>
      </c>
      <c r="AF106">
        <v>0</v>
      </c>
      <c r="AG106">
        <v>10</v>
      </c>
      <c r="AH106">
        <v>25</v>
      </c>
      <c r="AI106">
        <v>27</v>
      </c>
      <c r="AJ106">
        <v>3</v>
      </c>
      <c r="AK106">
        <v>200</v>
      </c>
      <c r="AL106">
        <v>0</v>
      </c>
      <c r="AM106" t="s">
        <v>24</v>
      </c>
      <c r="AN106" s="4">
        <v>150551</v>
      </c>
      <c r="AO106" s="4">
        <v>683342</v>
      </c>
      <c r="AP106" s="4">
        <v>1918136</v>
      </c>
      <c r="AQ106" s="4">
        <v>1918136</v>
      </c>
      <c r="AR106" t="s">
        <v>193</v>
      </c>
      <c r="AS106">
        <v>1</v>
      </c>
      <c r="AT106">
        <v>1</v>
      </c>
      <c r="AU106">
        <v>2415</v>
      </c>
      <c r="AV106" t="s">
        <v>160</v>
      </c>
      <c r="AW106" t="s">
        <v>143</v>
      </c>
      <c r="AX106" s="2">
        <v>46113.901388888888</v>
      </c>
    </row>
    <row r="107" spans="1:50" x14ac:dyDescent="0.3">
      <c r="A107" t="s">
        <v>194</v>
      </c>
      <c r="B107" t="s">
        <v>23</v>
      </c>
      <c r="C107">
        <v>0</v>
      </c>
      <c r="E107">
        <f t="shared" si="9"/>
        <v>33</v>
      </c>
      <c r="M107">
        <v>196.28030920028689</v>
      </c>
      <c r="N107">
        <v>617.1</v>
      </c>
      <c r="O107">
        <v>617.1</v>
      </c>
      <c r="P107" s="1">
        <f t="shared" si="7"/>
        <v>0</v>
      </c>
      <c r="AC107" t="s">
        <v>141</v>
      </c>
      <c r="AD107" t="s">
        <v>195</v>
      </c>
      <c r="AE107">
        <v>0</v>
      </c>
      <c r="AF107">
        <v>0</v>
      </c>
      <c r="AG107">
        <v>10</v>
      </c>
      <c r="AH107">
        <v>25</v>
      </c>
      <c r="AI107">
        <v>27</v>
      </c>
      <c r="AJ107">
        <v>3</v>
      </c>
      <c r="AK107">
        <v>200</v>
      </c>
      <c r="AL107">
        <v>0</v>
      </c>
      <c r="AM107" t="s">
        <v>24</v>
      </c>
      <c r="AN107" s="4">
        <v>12009615</v>
      </c>
      <c r="AO107" s="4">
        <v>9058647</v>
      </c>
      <c r="AP107" s="4">
        <v>1918136</v>
      </c>
      <c r="AQ107" s="4">
        <v>1918136</v>
      </c>
      <c r="AR107" t="s">
        <v>193</v>
      </c>
      <c r="AS107">
        <v>1</v>
      </c>
      <c r="AT107">
        <v>1</v>
      </c>
      <c r="AU107">
        <v>2028</v>
      </c>
      <c r="AV107" t="s">
        <v>144</v>
      </c>
      <c r="AW107" t="s">
        <v>154</v>
      </c>
      <c r="AX107" s="2">
        <v>46113.925694444442</v>
      </c>
    </row>
    <row r="108" spans="1:50" x14ac:dyDescent="0.3">
      <c r="A108" t="s">
        <v>196</v>
      </c>
      <c r="B108" t="s">
        <v>45</v>
      </c>
      <c r="C108">
        <v>0</v>
      </c>
      <c r="E108">
        <f t="shared" si="9"/>
        <v>33</v>
      </c>
      <c r="M108">
        <v>742.9659411907196</v>
      </c>
      <c r="N108">
        <v>547.09999999999991</v>
      </c>
      <c r="O108">
        <v>547.09999999999991</v>
      </c>
      <c r="P108" s="1">
        <f t="shared" si="7"/>
        <v>0</v>
      </c>
    </row>
    <row r="109" spans="1:50" x14ac:dyDescent="0.3">
      <c r="A109" t="s">
        <v>197</v>
      </c>
      <c r="B109" t="s">
        <v>57</v>
      </c>
      <c r="C109">
        <v>0</v>
      </c>
      <c r="E109">
        <f t="shared" si="9"/>
        <v>33</v>
      </c>
      <c r="M109">
        <v>304.21689295768738</v>
      </c>
      <c r="N109">
        <v>454.6</v>
      </c>
      <c r="O109">
        <v>454.6</v>
      </c>
      <c r="P109" s="1">
        <f t="shared" si="7"/>
        <v>0</v>
      </c>
    </row>
    <row r="110" spans="1:50" x14ac:dyDescent="0.3">
      <c r="A110" t="s">
        <v>198</v>
      </c>
      <c r="B110" t="s">
        <v>66</v>
      </c>
      <c r="C110">
        <v>0</v>
      </c>
      <c r="E110">
        <f t="shared" si="9"/>
        <v>33</v>
      </c>
      <c r="M110">
        <v>624.1385498046875</v>
      </c>
      <c r="N110">
        <v>416.9</v>
      </c>
      <c r="O110">
        <v>416.9</v>
      </c>
      <c r="P110" s="1">
        <f t="shared" si="7"/>
        <v>0</v>
      </c>
    </row>
    <row r="111" spans="1:50" x14ac:dyDescent="0.3">
      <c r="A111" t="s">
        <v>199</v>
      </c>
      <c r="B111" t="s">
        <v>74</v>
      </c>
      <c r="C111">
        <v>0</v>
      </c>
      <c r="E111">
        <f t="shared" si="9"/>
        <v>33</v>
      </c>
      <c r="M111">
        <v>451.66232872009277</v>
      </c>
      <c r="N111">
        <v>530.50000000000011</v>
      </c>
      <c r="O111">
        <v>530.50000000000011</v>
      </c>
      <c r="P111" s="1">
        <f t="shared" si="7"/>
        <v>0</v>
      </c>
    </row>
    <row r="112" spans="1:50" x14ac:dyDescent="0.3">
      <c r="A112" t="s">
        <v>200</v>
      </c>
      <c r="B112" t="s">
        <v>81</v>
      </c>
      <c r="C112">
        <v>0</v>
      </c>
      <c r="E112">
        <f t="shared" si="9"/>
        <v>33</v>
      </c>
      <c r="M112">
        <v>4210.5146205425262</v>
      </c>
      <c r="N112">
        <v>465.4</v>
      </c>
      <c r="O112">
        <v>465.4</v>
      </c>
      <c r="P112" s="1">
        <f t="shared" si="7"/>
        <v>0</v>
      </c>
    </row>
    <row r="113" spans="1:16" x14ac:dyDescent="0.3">
      <c r="A113" t="s">
        <v>201</v>
      </c>
      <c r="B113" t="s">
        <v>88</v>
      </c>
      <c r="C113">
        <v>0</v>
      </c>
      <c r="E113">
        <f t="shared" si="9"/>
        <v>33</v>
      </c>
      <c r="M113">
        <v>491.73685741424561</v>
      </c>
      <c r="N113">
        <v>424.3</v>
      </c>
      <c r="O113">
        <v>424.3</v>
      </c>
      <c r="P113" s="1">
        <f t="shared" si="7"/>
        <v>0</v>
      </c>
    </row>
    <row r="114" spans="1:16" x14ac:dyDescent="0.3">
      <c r="A114" t="s">
        <v>202</v>
      </c>
      <c r="B114" t="s">
        <v>94</v>
      </c>
      <c r="C114">
        <v>0</v>
      </c>
      <c r="E114">
        <f t="shared" si="9"/>
        <v>33</v>
      </c>
      <c r="M114">
        <v>1030.009838104248</v>
      </c>
      <c r="N114">
        <v>397.3</v>
      </c>
      <c r="O114">
        <v>397.3</v>
      </c>
      <c r="P114" s="1">
        <f t="shared" si="7"/>
        <v>0</v>
      </c>
    </row>
    <row r="115" spans="1:16" x14ac:dyDescent="0.3">
      <c r="A115" t="s">
        <v>203</v>
      </c>
      <c r="B115" t="s">
        <v>101</v>
      </c>
      <c r="C115">
        <v>0</v>
      </c>
      <c r="E115">
        <f t="shared" si="9"/>
        <v>33</v>
      </c>
      <c r="M115">
        <v>384.48417496681208</v>
      </c>
      <c r="N115">
        <v>441.3</v>
      </c>
      <c r="O115">
        <v>441.3</v>
      </c>
      <c r="P115" s="1">
        <f t="shared" si="7"/>
        <v>0</v>
      </c>
    </row>
    <row r="116" spans="1:16" x14ac:dyDescent="0.3">
      <c r="A116" t="s">
        <v>204</v>
      </c>
      <c r="B116" t="s">
        <v>108</v>
      </c>
      <c r="C116">
        <v>0</v>
      </c>
      <c r="E116">
        <f t="shared" si="9"/>
        <v>33</v>
      </c>
      <c r="M116">
        <v>4202.8075640201569</v>
      </c>
      <c r="N116">
        <v>444.8</v>
      </c>
      <c r="O116">
        <v>444.8</v>
      </c>
      <c r="P116" s="1">
        <f t="shared" si="7"/>
        <v>0</v>
      </c>
    </row>
    <row r="117" spans="1:16" x14ac:dyDescent="0.3">
      <c r="A117" t="s">
        <v>205</v>
      </c>
      <c r="B117" t="s">
        <v>115</v>
      </c>
      <c r="C117">
        <v>0</v>
      </c>
      <c r="E117">
        <f t="shared" si="9"/>
        <v>33</v>
      </c>
      <c r="M117">
        <v>3850.9118521213531</v>
      </c>
      <c r="N117">
        <v>428.8</v>
      </c>
      <c r="O117">
        <v>428.8</v>
      </c>
      <c r="P117" s="1">
        <f t="shared" si="7"/>
        <v>0</v>
      </c>
    </row>
  </sheetData>
  <autoFilter ref="A1:V117" xr:uid="{0B755C53-E771-44C0-A193-8A3BFDA429DB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F2F4-E8E5-46B8-B76D-D91B2C8FD751}">
  <dimension ref="A1:X106"/>
  <sheetViews>
    <sheetView zoomScale="115" zoomScaleNormal="115" workbookViewId="0">
      <selection activeCell="C61" sqref="C61"/>
    </sheetView>
  </sheetViews>
  <sheetFormatPr defaultRowHeight="14.4" x14ac:dyDescent="0.3"/>
  <cols>
    <col min="1" max="1" width="21.33203125" bestFit="1" customWidth="1"/>
    <col min="3" max="3" width="10.109375" bestFit="1" customWidth="1"/>
    <col min="5" max="5" width="11.88671875" bestFit="1" customWidth="1"/>
    <col min="6" max="6" width="13" bestFit="1" customWidth="1"/>
    <col min="9" max="9" width="11.21875" style="3" bestFit="1" customWidth="1"/>
    <col min="18" max="18" width="12.44140625" bestFit="1" customWidth="1"/>
    <col min="19" max="19" width="12.88671875" customWidth="1"/>
    <col min="22" max="22" width="13.6640625" customWidth="1"/>
    <col min="23" max="23" width="10.33203125" customWidth="1"/>
  </cols>
  <sheetData>
    <row r="1" spans="1:24" x14ac:dyDescent="0.3">
      <c r="A1" s="5" t="s">
        <v>0</v>
      </c>
      <c r="B1" s="5" t="s">
        <v>206</v>
      </c>
      <c r="C1" s="5" t="s">
        <v>207</v>
      </c>
      <c r="D1" s="5" t="s">
        <v>208</v>
      </c>
      <c r="E1" s="5" t="s">
        <v>209</v>
      </c>
      <c r="F1" s="5" t="s">
        <v>210</v>
      </c>
      <c r="G1" s="5" t="s">
        <v>211</v>
      </c>
      <c r="H1" s="5" t="s">
        <v>212</v>
      </c>
      <c r="I1" s="6" t="s">
        <v>213</v>
      </c>
      <c r="J1" s="5" t="s">
        <v>214</v>
      </c>
      <c r="K1" s="5" t="s">
        <v>215</v>
      </c>
      <c r="M1" s="7" t="s">
        <v>216</v>
      </c>
      <c r="O1" s="8"/>
    </row>
    <row r="2" spans="1:24" x14ac:dyDescent="0.3">
      <c r="A2" t="s">
        <v>217</v>
      </c>
      <c r="B2" t="s">
        <v>218</v>
      </c>
      <c r="C2" t="s">
        <v>219</v>
      </c>
      <c r="D2">
        <v>10</v>
      </c>
      <c r="E2">
        <v>50</v>
      </c>
      <c r="F2">
        <v>10</v>
      </c>
      <c r="G2">
        <v>191.3</v>
      </c>
      <c r="H2">
        <v>191.3</v>
      </c>
      <c r="I2" s="3">
        <f>IFERROR((H2-VLOOKUP(B2,FO_CONHECIDA!$A:$B,2,FALSE))/VLOOKUP(B2,FO_CONHECIDA!$A:$B,2,FALSE),0)</f>
        <v>0</v>
      </c>
      <c r="J2">
        <v>221</v>
      </c>
      <c r="K2">
        <v>412</v>
      </c>
      <c r="M2">
        <v>78.450450897216797</v>
      </c>
      <c r="R2" s="91" t="s">
        <v>220</v>
      </c>
      <c r="S2" s="92"/>
      <c r="T2" s="92"/>
      <c r="U2" s="92"/>
      <c r="V2" s="92"/>
      <c r="W2" s="92"/>
      <c r="X2" s="92"/>
    </row>
    <row r="3" spans="1:24" x14ac:dyDescent="0.3">
      <c r="A3" t="s">
        <v>221</v>
      </c>
      <c r="B3" t="s">
        <v>218</v>
      </c>
      <c r="C3" t="s">
        <v>219</v>
      </c>
      <c r="D3">
        <v>10</v>
      </c>
      <c r="E3">
        <v>50</v>
      </c>
      <c r="F3">
        <v>15</v>
      </c>
      <c r="G3">
        <v>191.3</v>
      </c>
      <c r="H3">
        <v>191.3</v>
      </c>
      <c r="I3" s="3">
        <f>IFERROR((H3-VLOOKUP(B3,FO_CONHECIDA!$A:$B,2,FALSE))/VLOOKUP(B3,FO_CONHECIDA!$A:$B,2,FALSE),0)</f>
        <v>0</v>
      </c>
      <c r="J3">
        <v>226</v>
      </c>
      <c r="K3">
        <v>422</v>
      </c>
      <c r="M3">
        <v>87.78919243812561</v>
      </c>
      <c r="R3" s="9" t="s">
        <v>222</v>
      </c>
      <c r="S3" s="9" t="s">
        <v>223</v>
      </c>
      <c r="T3" s="9" t="s">
        <v>224</v>
      </c>
      <c r="U3" s="9" t="s">
        <v>225</v>
      </c>
      <c r="V3" s="9" t="s">
        <v>226</v>
      </c>
      <c r="W3" s="10" t="s">
        <v>227</v>
      </c>
      <c r="X3" s="10" t="s">
        <v>228</v>
      </c>
    </row>
    <row r="4" spans="1:24" x14ac:dyDescent="0.3">
      <c r="A4" t="s">
        <v>174</v>
      </c>
      <c r="B4" t="s">
        <v>218</v>
      </c>
      <c r="C4" t="s">
        <v>219</v>
      </c>
      <c r="D4">
        <v>10</v>
      </c>
      <c r="E4">
        <v>50</v>
      </c>
      <c r="F4">
        <v>20</v>
      </c>
      <c r="G4">
        <v>191.3</v>
      </c>
      <c r="H4">
        <v>191.3</v>
      </c>
      <c r="I4" s="3">
        <f>IFERROR((H4-VLOOKUP(B4,FO_CONHECIDA!$A:$B,2,FALSE))/VLOOKUP(B4,FO_CONHECIDA!$A:$B,2,FALSE),0)</f>
        <v>0</v>
      </c>
      <c r="J4">
        <v>231</v>
      </c>
      <c r="K4">
        <v>434</v>
      </c>
      <c r="M4">
        <v>100.12156891822811</v>
      </c>
      <c r="R4" s="9">
        <v>10</v>
      </c>
      <c r="S4" s="11">
        <f>AVERAGEIFS($I:$I,$F:$F,R4)</f>
        <v>9.7499333113338388E-2</v>
      </c>
      <c r="T4" s="11">
        <f>_xlfn.MINIFS($I:$I,$F:$F,R4)</f>
        <v>0</v>
      </c>
      <c r="U4" s="11">
        <f>_xlfn.MAXIFS($I:$I,$F:$F,R4)</f>
        <v>0.70310036784025221</v>
      </c>
      <c r="V4" s="9">
        <f>AVERAGEIFS($M:$M,$F:$F,R4)</f>
        <v>151.01100498835245</v>
      </c>
      <c r="W4">
        <f>AVERAGEIFS($K:$K,$F:$F,R4)</f>
        <v>620.6</v>
      </c>
      <c r="X4">
        <f>AVERAGEIFS($J:$J,$F:$F,R4)</f>
        <v>220.73333333333332</v>
      </c>
    </row>
    <row r="5" spans="1:24" x14ac:dyDescent="0.3">
      <c r="A5" t="s">
        <v>229</v>
      </c>
      <c r="B5" t="s">
        <v>218</v>
      </c>
      <c r="C5" t="s">
        <v>219</v>
      </c>
      <c r="D5">
        <v>10</v>
      </c>
      <c r="E5">
        <v>50</v>
      </c>
      <c r="F5">
        <v>25</v>
      </c>
      <c r="G5">
        <v>191.3</v>
      </c>
      <c r="H5">
        <v>191.3</v>
      </c>
      <c r="I5" s="3">
        <f>IFERROR((H5-VLOOKUP(B5,FO_CONHECIDA!$A:$B,2,FALSE))/VLOOKUP(B5,FO_CONHECIDA!$A:$B,2,FALSE),0)</f>
        <v>0</v>
      </c>
      <c r="J5">
        <v>236</v>
      </c>
      <c r="K5">
        <v>443</v>
      </c>
      <c r="M5">
        <v>113.68224096298221</v>
      </c>
      <c r="R5" s="9">
        <v>15</v>
      </c>
      <c r="S5" s="11">
        <f t="shared" ref="S5:S10" si="0">AVERAGEIFS($I:$I,$F:$F,R5)</f>
        <v>5.2303546871752607E-2</v>
      </c>
      <c r="T5" s="11">
        <f t="shared" ref="T5:T10" si="1">_xlfn.MINIFS($I:$I,$F:$F,R5)</f>
        <v>-2.5008103326356364E-16</v>
      </c>
      <c r="U5" s="11">
        <f t="shared" ref="U5:U10" si="2">_xlfn.MAXIFS($I:$I,$F:$F,R5)</f>
        <v>0.39362258233141667</v>
      </c>
      <c r="V5" s="9">
        <f t="shared" ref="V5:V10" si="3">AVERAGEIFS($M:$M,$F:$F,R5)</f>
        <v>169.69998919169109</v>
      </c>
      <c r="W5">
        <f t="shared" ref="W5:W10" si="4">AVERAGEIFS($K:$K,$F:$F,R5)</f>
        <v>641.13333333333333</v>
      </c>
      <c r="X5">
        <f t="shared" ref="X5:X10" si="5">AVERAGEIFS($J:$J,$F:$F,R5)</f>
        <v>232.73333333333332</v>
      </c>
    </row>
    <row r="6" spans="1:24" x14ac:dyDescent="0.3">
      <c r="A6" t="s">
        <v>230</v>
      </c>
      <c r="B6" t="s">
        <v>218</v>
      </c>
      <c r="C6" t="s">
        <v>219</v>
      </c>
      <c r="D6">
        <v>10</v>
      </c>
      <c r="E6">
        <v>50</v>
      </c>
      <c r="F6">
        <v>30</v>
      </c>
      <c r="G6">
        <v>191.3</v>
      </c>
      <c r="H6">
        <v>191.3</v>
      </c>
      <c r="I6" s="3">
        <f>IFERROR((H6-VLOOKUP(B6,FO_CONHECIDA!$A:$B,2,FALSE))/VLOOKUP(B6,FO_CONHECIDA!$A:$B,2,FALSE),0)</f>
        <v>0</v>
      </c>
      <c r="J6">
        <v>241</v>
      </c>
      <c r="K6">
        <v>449</v>
      </c>
      <c r="M6">
        <v>129.55700397491461</v>
      </c>
      <c r="R6" s="90">
        <v>20</v>
      </c>
      <c r="S6" s="11">
        <f t="shared" si="0"/>
        <v>7.5163684210772181E-3</v>
      </c>
      <c r="T6" s="11">
        <f t="shared" si="1"/>
        <v>-2.5008103326356364E-16</v>
      </c>
      <c r="U6" s="11">
        <f t="shared" si="2"/>
        <v>5.8855002675227391E-2</v>
      </c>
      <c r="V6" s="9">
        <f t="shared" si="3"/>
        <v>269.95350953737892</v>
      </c>
      <c r="W6">
        <f t="shared" si="4"/>
        <v>675.5333333333333</v>
      </c>
      <c r="X6">
        <f t="shared" si="5"/>
        <v>250.26666666666668</v>
      </c>
    </row>
    <row r="7" spans="1:24" x14ac:dyDescent="0.3">
      <c r="A7" t="s">
        <v>231</v>
      </c>
      <c r="B7" t="s">
        <v>218</v>
      </c>
      <c r="C7" t="s">
        <v>219</v>
      </c>
      <c r="D7">
        <v>10</v>
      </c>
      <c r="E7">
        <v>50</v>
      </c>
      <c r="F7">
        <v>40</v>
      </c>
      <c r="G7">
        <v>191.3</v>
      </c>
      <c r="H7">
        <v>191.3</v>
      </c>
      <c r="I7" s="3">
        <f>IFERROR((H7-VLOOKUP(B7,FO_CONHECIDA!$A:$B,2,FALSE))/VLOOKUP(B7,FO_CONHECIDA!$A:$B,2,FALSE),0)</f>
        <v>0</v>
      </c>
      <c r="J7">
        <v>242</v>
      </c>
      <c r="K7">
        <v>451</v>
      </c>
      <c r="M7">
        <v>133.66418790817261</v>
      </c>
      <c r="R7" s="9">
        <v>25</v>
      </c>
      <c r="S7" s="11">
        <f t="shared" si="0"/>
        <v>5.3233148911252968E-3</v>
      </c>
      <c r="T7" s="11">
        <f t="shared" si="1"/>
        <v>-2.5008103326356364E-16</v>
      </c>
      <c r="U7" s="11">
        <f t="shared" si="2"/>
        <v>5.8855002675227391E-2</v>
      </c>
      <c r="V7" s="9">
        <f t="shared" si="3"/>
        <v>287.06636513074238</v>
      </c>
      <c r="W7">
        <f t="shared" si="4"/>
        <v>685.26666666666665</v>
      </c>
      <c r="X7">
        <f t="shared" si="5"/>
        <v>254.73333333333332</v>
      </c>
    </row>
    <row r="8" spans="1:24" x14ac:dyDescent="0.3">
      <c r="A8" t="s">
        <v>232</v>
      </c>
      <c r="B8" t="s">
        <v>218</v>
      </c>
      <c r="C8" t="s">
        <v>219</v>
      </c>
      <c r="D8">
        <v>10</v>
      </c>
      <c r="E8">
        <v>50</v>
      </c>
      <c r="F8">
        <v>50</v>
      </c>
      <c r="G8">
        <v>191.3</v>
      </c>
      <c r="H8">
        <v>191.3</v>
      </c>
      <c r="I8" s="3">
        <f>IFERROR((H8-VLOOKUP(B8,FO_CONHECIDA!$A:$B,2,FALSE))/VLOOKUP(B8,FO_CONHECIDA!$A:$B,2,FALSE),0)</f>
        <v>0</v>
      </c>
      <c r="J8">
        <v>242</v>
      </c>
      <c r="K8">
        <v>451</v>
      </c>
      <c r="M8">
        <v>134.17438650131231</v>
      </c>
      <c r="R8" s="9">
        <v>30</v>
      </c>
      <c r="S8" s="11">
        <f t="shared" si="0"/>
        <v>1.3996480461101371E-3</v>
      </c>
      <c r="T8" s="11">
        <f t="shared" si="1"/>
        <v>-2.5008103326356364E-16</v>
      </c>
      <c r="U8" s="11">
        <f t="shared" si="2"/>
        <v>1.629006831318967E-2</v>
      </c>
      <c r="V8" s="9">
        <f t="shared" si="3"/>
        <v>306.44550697008771</v>
      </c>
      <c r="W8">
        <f t="shared" si="4"/>
        <v>693.2</v>
      </c>
      <c r="X8">
        <f t="shared" si="5"/>
        <v>260.8</v>
      </c>
    </row>
    <row r="9" spans="1:24" x14ac:dyDescent="0.3">
      <c r="A9" t="s">
        <v>233</v>
      </c>
      <c r="B9" t="s">
        <v>234</v>
      </c>
      <c r="C9" t="s">
        <v>219</v>
      </c>
      <c r="D9">
        <v>10</v>
      </c>
      <c r="E9">
        <v>50</v>
      </c>
      <c r="F9">
        <v>10</v>
      </c>
      <c r="G9">
        <v>378.57946428571398</v>
      </c>
      <c r="H9">
        <v>324.10000000000002</v>
      </c>
      <c r="I9" s="3">
        <f>IFERROR((H9-VLOOKUP(B9,FO_CONHECIDA!$A:$B,2,FALSE))/VLOOKUP(B9,FO_CONHECIDA!$A:$B,2,FALSE),0)</f>
        <v>0.70310036784025221</v>
      </c>
      <c r="J9">
        <v>495</v>
      </c>
      <c r="K9">
        <v>1100</v>
      </c>
      <c r="M9">
        <v>110</v>
      </c>
      <c r="R9" s="9">
        <v>40</v>
      </c>
      <c r="S9" s="11">
        <f t="shared" si="0"/>
        <v>3.1364349189749236E-4</v>
      </c>
      <c r="T9" s="11">
        <f t="shared" si="1"/>
        <v>-2.5008103326356364E-16</v>
      </c>
      <c r="U9" s="11">
        <f t="shared" si="2"/>
        <v>4.7046523784630275E-3</v>
      </c>
      <c r="V9" s="9">
        <f t="shared" si="3"/>
        <v>314.36897333463031</v>
      </c>
      <c r="W9">
        <f t="shared" si="4"/>
        <v>697.4666666666667</v>
      </c>
      <c r="X9">
        <f t="shared" si="5"/>
        <v>263.39999999999998</v>
      </c>
    </row>
    <row r="10" spans="1:24" x14ac:dyDescent="0.3">
      <c r="A10" t="s">
        <v>235</v>
      </c>
      <c r="B10" t="s">
        <v>234</v>
      </c>
      <c r="C10" t="s">
        <v>219</v>
      </c>
      <c r="D10">
        <v>10</v>
      </c>
      <c r="E10">
        <v>50</v>
      </c>
      <c r="F10">
        <v>15</v>
      </c>
      <c r="G10">
        <v>212.8</v>
      </c>
      <c r="H10">
        <v>212.8</v>
      </c>
      <c r="I10" s="3">
        <f>IFERROR((H10-VLOOKUP(B10,FO_CONHECIDA!$A:$B,2,FALSE))/VLOOKUP(B10,FO_CONHECIDA!$A:$B,2,FALSE),0)</f>
        <v>0.11823436678928008</v>
      </c>
      <c r="J10">
        <v>511</v>
      </c>
      <c r="K10">
        <v>1149</v>
      </c>
      <c r="M10">
        <v>120</v>
      </c>
      <c r="R10" s="9">
        <v>50</v>
      </c>
      <c r="S10" s="11">
        <f t="shared" si="0"/>
        <v>3.1364349189749236E-4</v>
      </c>
      <c r="T10" s="11">
        <f t="shared" si="1"/>
        <v>-2.5008103326356364E-16</v>
      </c>
      <c r="U10" s="11">
        <f t="shared" si="2"/>
        <v>4.7046523784630275E-3</v>
      </c>
      <c r="V10" s="9">
        <f t="shared" si="3"/>
        <v>322.92019302050267</v>
      </c>
      <c r="W10">
        <f t="shared" si="4"/>
        <v>701.8</v>
      </c>
      <c r="X10">
        <f t="shared" si="5"/>
        <v>265.39999999999998</v>
      </c>
    </row>
    <row r="11" spans="1:24" x14ac:dyDescent="0.3">
      <c r="A11" t="s">
        <v>175</v>
      </c>
      <c r="B11" t="s">
        <v>234</v>
      </c>
      <c r="C11" t="s">
        <v>219</v>
      </c>
      <c r="D11">
        <v>10</v>
      </c>
      <c r="E11">
        <v>50</v>
      </c>
      <c r="F11">
        <v>20</v>
      </c>
      <c r="G11">
        <v>190.3</v>
      </c>
      <c r="H11">
        <v>190.3</v>
      </c>
      <c r="I11" s="3">
        <f>IFERROR((H11-VLOOKUP(B11,FO_CONHECIDA!$A:$B,2,FALSE))/VLOOKUP(B11,FO_CONHECIDA!$A:$B,2,FALSE),0)</f>
        <v>0</v>
      </c>
      <c r="J11">
        <v>535</v>
      </c>
      <c r="K11">
        <v>1156</v>
      </c>
      <c r="M11">
        <v>134.61287903785711</v>
      </c>
    </row>
    <row r="12" spans="1:24" x14ac:dyDescent="0.3">
      <c r="A12" t="s">
        <v>236</v>
      </c>
      <c r="B12" t="s">
        <v>234</v>
      </c>
      <c r="C12" t="s">
        <v>219</v>
      </c>
      <c r="D12">
        <v>10</v>
      </c>
      <c r="E12">
        <v>50</v>
      </c>
      <c r="F12">
        <v>25</v>
      </c>
      <c r="G12">
        <v>190.3</v>
      </c>
      <c r="H12">
        <v>190.3</v>
      </c>
      <c r="I12" s="3">
        <f>IFERROR((H12-VLOOKUP(B12,FO_CONHECIDA!$A:$B,2,FALSE))/VLOOKUP(B12,FO_CONHECIDA!$A:$B,2,FALSE),0)</f>
        <v>0</v>
      </c>
      <c r="J12">
        <v>540</v>
      </c>
      <c r="K12">
        <v>1168</v>
      </c>
      <c r="M12">
        <v>159.25976848602289</v>
      </c>
    </row>
    <row r="13" spans="1:24" x14ac:dyDescent="0.3">
      <c r="A13" t="s">
        <v>237</v>
      </c>
      <c r="B13" t="s">
        <v>234</v>
      </c>
      <c r="C13" t="s">
        <v>219</v>
      </c>
      <c r="D13">
        <v>10</v>
      </c>
      <c r="E13">
        <v>50</v>
      </c>
      <c r="F13">
        <v>30</v>
      </c>
      <c r="G13">
        <v>190.3</v>
      </c>
      <c r="H13">
        <v>190.3</v>
      </c>
      <c r="I13" s="3">
        <f>IFERROR((H13-VLOOKUP(B13,FO_CONHECIDA!$A:$B,2,FALSE))/VLOOKUP(B13,FO_CONHECIDA!$A:$B,2,FALSE),0)</f>
        <v>0</v>
      </c>
      <c r="J13">
        <v>545</v>
      </c>
      <c r="K13">
        <v>1178</v>
      </c>
      <c r="M13">
        <v>175.63055157661441</v>
      </c>
    </row>
    <row r="14" spans="1:24" x14ac:dyDescent="0.3">
      <c r="A14" t="s">
        <v>238</v>
      </c>
      <c r="B14" t="s">
        <v>234</v>
      </c>
      <c r="C14" t="s">
        <v>219</v>
      </c>
      <c r="D14">
        <v>10</v>
      </c>
      <c r="E14">
        <v>50</v>
      </c>
      <c r="F14">
        <v>40</v>
      </c>
      <c r="G14">
        <v>190.3</v>
      </c>
      <c r="H14">
        <v>190.3</v>
      </c>
      <c r="I14" s="3">
        <f>IFERROR((H14-VLOOKUP(B14,FO_CONHECIDA!$A:$B,2,FALSE))/VLOOKUP(B14,FO_CONHECIDA!$A:$B,2,FALSE),0)</f>
        <v>0</v>
      </c>
      <c r="J14">
        <v>555</v>
      </c>
      <c r="K14">
        <v>1196</v>
      </c>
      <c r="M14">
        <v>189.6008517742157</v>
      </c>
    </row>
    <row r="15" spans="1:24" x14ac:dyDescent="0.3">
      <c r="A15" t="s">
        <v>239</v>
      </c>
      <c r="B15" t="s">
        <v>234</v>
      </c>
      <c r="C15" t="s">
        <v>219</v>
      </c>
      <c r="D15">
        <v>10</v>
      </c>
      <c r="E15">
        <v>50</v>
      </c>
      <c r="F15">
        <v>50</v>
      </c>
      <c r="G15">
        <v>190.3</v>
      </c>
      <c r="H15">
        <v>190.3</v>
      </c>
      <c r="I15" s="3">
        <f>IFERROR((H15-VLOOKUP(B15,FO_CONHECIDA!$A:$B,2,FALSE))/VLOOKUP(B15,FO_CONHECIDA!$A:$B,2,FALSE),0)</f>
        <v>0</v>
      </c>
      <c r="J15">
        <v>565</v>
      </c>
      <c r="K15">
        <v>1217</v>
      </c>
      <c r="M15">
        <v>204.25342082977289</v>
      </c>
    </row>
    <row r="16" spans="1:24" s="12" customFormat="1" x14ac:dyDescent="0.3">
      <c r="A16" s="12" t="s">
        <v>240</v>
      </c>
      <c r="B16" s="12" t="s">
        <v>241</v>
      </c>
      <c r="C16" s="12" t="s">
        <v>219</v>
      </c>
      <c r="D16" s="12">
        <v>10</v>
      </c>
      <c r="E16" s="12">
        <v>50</v>
      </c>
      <c r="F16" s="12">
        <v>10</v>
      </c>
      <c r="G16" s="12">
        <v>193.4</v>
      </c>
      <c r="H16" s="12">
        <v>193.4</v>
      </c>
      <c r="I16" s="3">
        <f>IFERROR((H16-VLOOKUP(B16,FO_CONHECIDA!$A:$B,2,FALSE))/VLOOKUP(B16,FO_CONHECIDA!$A:$B,2,FALSE),0)</f>
        <v>1.629006831318967E-2</v>
      </c>
      <c r="J16" s="12">
        <v>397</v>
      </c>
      <c r="K16" s="12">
        <v>869</v>
      </c>
      <c r="M16" s="12">
        <v>145.45041394233701</v>
      </c>
    </row>
    <row r="17" spans="1:13" ht="15" thickBot="1" x14ac:dyDescent="0.35">
      <c r="A17" t="s">
        <v>242</v>
      </c>
      <c r="B17" t="s">
        <v>241</v>
      </c>
      <c r="C17" t="s">
        <v>219</v>
      </c>
      <c r="D17">
        <v>10</v>
      </c>
      <c r="E17">
        <v>50</v>
      </c>
      <c r="F17">
        <v>15</v>
      </c>
      <c r="G17">
        <v>193.4</v>
      </c>
      <c r="H17">
        <v>193.4</v>
      </c>
      <c r="I17" s="3">
        <f>IFERROR((H17-VLOOKUP(B17,FO_CONHECIDA!$A:$B,2,FALSE))/VLOOKUP(B17,FO_CONHECIDA!$A:$B,2,FALSE),0)</f>
        <v>1.629006831318967E-2</v>
      </c>
      <c r="J17">
        <v>402</v>
      </c>
      <c r="K17">
        <v>875</v>
      </c>
      <c r="M17">
        <v>159.48630833625791</v>
      </c>
    </row>
    <row r="18" spans="1:13" ht="15" thickBot="1" x14ac:dyDescent="0.35">
      <c r="A18" s="13" t="s">
        <v>178</v>
      </c>
      <c r="B18" s="14" t="s">
        <v>241</v>
      </c>
      <c r="C18" s="14" t="s">
        <v>219</v>
      </c>
      <c r="D18" s="14">
        <v>10</v>
      </c>
      <c r="E18" s="14">
        <v>50</v>
      </c>
      <c r="F18" s="14">
        <v>20</v>
      </c>
      <c r="G18" s="14">
        <v>193.4</v>
      </c>
      <c r="H18" s="14">
        <v>193.4</v>
      </c>
      <c r="I18" s="3">
        <f>IFERROR((H18-VLOOKUP(B18,FO_CONHECIDA!$A:$B,2,FALSE))/VLOOKUP(B18,FO_CONHECIDA!$A:$B,2,FALSE),0)</f>
        <v>1.629006831318967E-2</v>
      </c>
      <c r="J18" s="14">
        <v>407</v>
      </c>
      <c r="K18" s="14">
        <v>887</v>
      </c>
      <c r="L18" s="14"/>
      <c r="M18">
        <v>188.8895723819733</v>
      </c>
    </row>
    <row r="19" spans="1:13" x14ac:dyDescent="0.3">
      <c r="A19" t="s">
        <v>243</v>
      </c>
      <c r="B19" t="s">
        <v>241</v>
      </c>
      <c r="C19" t="s">
        <v>219</v>
      </c>
      <c r="D19">
        <v>10</v>
      </c>
      <c r="E19">
        <v>50</v>
      </c>
      <c r="F19">
        <v>25</v>
      </c>
      <c r="G19">
        <v>193.4</v>
      </c>
      <c r="H19">
        <v>193.4</v>
      </c>
      <c r="I19" s="3">
        <f>IFERROR((H19-VLOOKUP(B19,FO_CONHECIDA!$A:$B,2,FALSE))/VLOOKUP(B19,FO_CONHECIDA!$A:$B,2,FALSE),0)</f>
        <v>1.629006831318967E-2</v>
      </c>
      <c r="J19">
        <v>412</v>
      </c>
      <c r="K19">
        <v>898</v>
      </c>
      <c r="M19">
        <v>222.88654446601871</v>
      </c>
    </row>
    <row r="20" spans="1:13" x14ac:dyDescent="0.3">
      <c r="A20" t="s">
        <v>244</v>
      </c>
      <c r="B20" t="s">
        <v>241</v>
      </c>
      <c r="C20" t="s">
        <v>219</v>
      </c>
      <c r="D20">
        <v>10</v>
      </c>
      <c r="E20">
        <v>50</v>
      </c>
      <c r="F20">
        <v>30</v>
      </c>
      <c r="G20">
        <v>193.4</v>
      </c>
      <c r="H20">
        <v>193.4</v>
      </c>
      <c r="I20" s="3">
        <f>IFERROR((H20-VLOOKUP(B20,FO_CONHECIDA!$A:$B,2,FALSE))/VLOOKUP(B20,FO_CONHECIDA!$A:$B,2,FALSE),0)</f>
        <v>1.629006831318967E-2</v>
      </c>
      <c r="J20">
        <v>417</v>
      </c>
      <c r="K20">
        <v>908</v>
      </c>
      <c r="M20">
        <v>239.69586372375491</v>
      </c>
    </row>
    <row r="21" spans="1:13" x14ac:dyDescent="0.3">
      <c r="A21" t="s">
        <v>245</v>
      </c>
      <c r="B21" t="s">
        <v>241</v>
      </c>
      <c r="C21" t="s">
        <v>219</v>
      </c>
      <c r="D21">
        <v>10</v>
      </c>
      <c r="E21">
        <v>50</v>
      </c>
      <c r="F21">
        <v>40</v>
      </c>
      <c r="G21">
        <v>190.3</v>
      </c>
      <c r="H21">
        <v>190.3</v>
      </c>
      <c r="I21" s="3">
        <f>IFERROR((H21-VLOOKUP(B21,FO_CONHECIDA!$A:$B,2,FALSE))/VLOOKUP(B21,FO_CONHECIDA!$A:$B,2,FALSE),0)</f>
        <v>0</v>
      </c>
      <c r="J21">
        <v>425</v>
      </c>
      <c r="K21">
        <v>922</v>
      </c>
      <c r="M21">
        <v>241.20950508117679</v>
      </c>
    </row>
    <row r="22" spans="1:13" x14ac:dyDescent="0.3">
      <c r="A22" t="s">
        <v>246</v>
      </c>
      <c r="B22" t="s">
        <v>241</v>
      </c>
      <c r="C22" t="s">
        <v>219</v>
      </c>
      <c r="D22">
        <v>10</v>
      </c>
      <c r="E22">
        <v>50</v>
      </c>
      <c r="F22">
        <v>50</v>
      </c>
      <c r="G22">
        <v>190.3</v>
      </c>
      <c r="H22">
        <v>190.3</v>
      </c>
      <c r="I22" s="3">
        <f>IFERROR((H22-VLOOKUP(B22,FO_CONHECIDA!$A:$B,2,FALSE))/VLOOKUP(B22,FO_CONHECIDA!$A:$B,2,FALSE),0)</f>
        <v>0</v>
      </c>
      <c r="J22">
        <v>425</v>
      </c>
      <c r="K22">
        <v>922</v>
      </c>
      <c r="M22">
        <v>231.82367277145389</v>
      </c>
    </row>
    <row r="23" spans="1:13" s="12" customFormat="1" x14ac:dyDescent="0.3">
      <c r="A23" s="12" t="s">
        <v>247</v>
      </c>
      <c r="B23" s="12" t="s">
        <v>248</v>
      </c>
      <c r="C23" s="12" t="s">
        <v>219</v>
      </c>
      <c r="D23" s="12">
        <v>10</v>
      </c>
      <c r="E23" s="12">
        <v>50</v>
      </c>
      <c r="F23" s="12">
        <v>10</v>
      </c>
      <c r="G23" s="12">
        <v>197.9</v>
      </c>
      <c r="H23" s="12">
        <v>197.9</v>
      </c>
      <c r="I23" s="3">
        <f>IFERROR((H23-VLOOKUP(B23,FO_CONHECIDA!$A:$B,2,FALSE))/VLOOKUP(B23,FO_CONHECIDA!$A:$B,2,FALSE),0)</f>
        <v>5.8855002675227391E-2</v>
      </c>
      <c r="J23" s="12">
        <v>305</v>
      </c>
      <c r="K23" s="12">
        <v>662</v>
      </c>
      <c r="M23" s="12">
        <v>51.509921312332153</v>
      </c>
    </row>
    <row r="24" spans="1:13" ht="15" thickBot="1" x14ac:dyDescent="0.35">
      <c r="A24" t="s">
        <v>249</v>
      </c>
      <c r="B24" t="s">
        <v>248</v>
      </c>
      <c r="C24" t="s">
        <v>219</v>
      </c>
      <c r="D24">
        <v>10</v>
      </c>
      <c r="E24">
        <v>50</v>
      </c>
      <c r="F24">
        <v>15</v>
      </c>
      <c r="G24">
        <v>197.9</v>
      </c>
      <c r="H24">
        <v>197.9</v>
      </c>
      <c r="I24" s="3">
        <f>IFERROR((H24-VLOOKUP(B24,FO_CONHECIDA!$A:$B,2,FALSE))/VLOOKUP(B24,FO_CONHECIDA!$A:$B,2,FALSE),0)</f>
        <v>5.8855002675227391E-2</v>
      </c>
      <c r="J24">
        <v>310</v>
      </c>
      <c r="K24">
        <v>673</v>
      </c>
      <c r="M24">
        <v>60</v>
      </c>
    </row>
    <row r="25" spans="1:13" ht="15" thickBot="1" x14ac:dyDescent="0.35">
      <c r="A25" s="13" t="s">
        <v>180</v>
      </c>
      <c r="B25" s="14" t="s">
        <v>248</v>
      </c>
      <c r="C25" s="14" t="s">
        <v>219</v>
      </c>
      <c r="D25" s="14">
        <v>10</v>
      </c>
      <c r="E25" s="14">
        <v>50</v>
      </c>
      <c r="F25" s="14">
        <v>20</v>
      </c>
      <c r="G25" s="14">
        <v>197.89999999999989</v>
      </c>
      <c r="H25" s="14">
        <v>197.9</v>
      </c>
      <c r="I25" s="3">
        <f>IFERROR((H25-VLOOKUP(B25,FO_CONHECIDA!$A:$B,2,FALSE))/VLOOKUP(B25,FO_CONHECIDA!$A:$B,2,FALSE),0)</f>
        <v>5.8855002675227391E-2</v>
      </c>
      <c r="J25" s="14">
        <v>315</v>
      </c>
      <c r="K25" s="14">
        <v>680</v>
      </c>
      <c r="L25" s="14"/>
      <c r="M25">
        <v>78.459529876708984</v>
      </c>
    </row>
    <row r="26" spans="1:13" x14ac:dyDescent="0.3">
      <c r="A26" t="s">
        <v>250</v>
      </c>
      <c r="B26" t="s">
        <v>248</v>
      </c>
      <c r="C26" t="s">
        <v>219</v>
      </c>
      <c r="D26">
        <v>10</v>
      </c>
      <c r="E26">
        <v>50</v>
      </c>
      <c r="F26">
        <v>25</v>
      </c>
      <c r="G26">
        <v>197.9</v>
      </c>
      <c r="H26">
        <v>197.9</v>
      </c>
      <c r="I26" s="3">
        <f>IFERROR((H26-VLOOKUP(B26,FO_CONHECIDA!$A:$B,2,FALSE))/VLOOKUP(B26,FO_CONHECIDA!$A:$B,2,FALSE),0)</f>
        <v>5.8855002675227391E-2</v>
      </c>
      <c r="J26">
        <v>320</v>
      </c>
      <c r="K26">
        <v>685</v>
      </c>
      <c r="M26">
        <v>105.37613344192501</v>
      </c>
    </row>
    <row r="27" spans="1:13" x14ac:dyDescent="0.3">
      <c r="A27" t="s">
        <v>251</v>
      </c>
      <c r="B27" t="s">
        <v>248</v>
      </c>
      <c r="C27" t="s">
        <v>219</v>
      </c>
      <c r="D27">
        <v>10</v>
      </c>
      <c r="E27">
        <v>50</v>
      </c>
      <c r="F27">
        <v>30</v>
      </c>
      <c r="G27">
        <v>186.9</v>
      </c>
      <c r="H27">
        <v>186.9</v>
      </c>
      <c r="I27" s="3">
        <f>IFERROR((H27-VLOOKUP(B27,FO_CONHECIDA!$A:$B,2,FALSE))/VLOOKUP(B27,FO_CONHECIDA!$A:$B,2,FALSE),0)</f>
        <v>0</v>
      </c>
      <c r="J27">
        <v>348</v>
      </c>
      <c r="K27">
        <v>732</v>
      </c>
      <c r="M27">
        <v>232.43073225021359</v>
      </c>
    </row>
    <row r="28" spans="1:13" x14ac:dyDescent="0.3">
      <c r="A28" t="s">
        <v>252</v>
      </c>
      <c r="B28" t="s">
        <v>248</v>
      </c>
      <c r="C28" t="s">
        <v>219</v>
      </c>
      <c r="D28">
        <v>10</v>
      </c>
      <c r="E28">
        <v>50</v>
      </c>
      <c r="F28">
        <v>40</v>
      </c>
      <c r="G28">
        <v>186.9</v>
      </c>
      <c r="H28">
        <v>186.9</v>
      </c>
      <c r="I28" s="3">
        <f>IFERROR((H28-VLOOKUP(B28,FO_CONHECIDA!$A:$B,2,FALSE))/VLOOKUP(B28,FO_CONHECIDA!$A:$B,2,FALSE),0)</f>
        <v>0</v>
      </c>
      <c r="J28">
        <v>348</v>
      </c>
      <c r="K28">
        <v>732</v>
      </c>
      <c r="M28">
        <v>235.4004399776459</v>
      </c>
    </row>
    <row r="29" spans="1:13" x14ac:dyDescent="0.3">
      <c r="A29" t="s">
        <v>253</v>
      </c>
      <c r="B29" t="s">
        <v>248</v>
      </c>
      <c r="C29" t="s">
        <v>219</v>
      </c>
      <c r="D29">
        <v>10</v>
      </c>
      <c r="E29">
        <v>50</v>
      </c>
      <c r="F29">
        <v>50</v>
      </c>
      <c r="G29">
        <v>186.9</v>
      </c>
      <c r="H29">
        <v>186.9</v>
      </c>
      <c r="I29" s="3">
        <f>IFERROR((H29-VLOOKUP(B29,FO_CONHECIDA!$A:$B,2,FALSE))/VLOOKUP(B29,FO_CONHECIDA!$A:$B,2,FALSE),0)</f>
        <v>0</v>
      </c>
      <c r="J29">
        <v>348</v>
      </c>
      <c r="K29">
        <v>732</v>
      </c>
      <c r="M29">
        <v>232.604941368103</v>
      </c>
    </row>
    <row r="30" spans="1:13" s="12" customFormat="1" x14ac:dyDescent="0.3">
      <c r="A30" s="12" t="s">
        <v>254</v>
      </c>
      <c r="B30" s="12" t="s">
        <v>255</v>
      </c>
      <c r="C30" s="12" t="s">
        <v>219</v>
      </c>
      <c r="D30" s="12">
        <v>10</v>
      </c>
      <c r="E30" s="12">
        <v>50</v>
      </c>
      <c r="F30" s="12">
        <v>10</v>
      </c>
      <c r="G30" s="12">
        <v>191.3</v>
      </c>
      <c r="H30" s="12">
        <v>191.3</v>
      </c>
      <c r="I30" s="3">
        <f>IFERROR((H30-VLOOKUP(B30,FO_CONHECIDA!$A:$B,2,FALSE))/VLOOKUP(B30,FO_CONHECIDA!$A:$B,2,FALSE),0)</f>
        <v>0</v>
      </c>
      <c r="J30" s="12">
        <v>200</v>
      </c>
      <c r="K30" s="12">
        <v>501</v>
      </c>
      <c r="M30" s="12">
        <v>200</v>
      </c>
    </row>
    <row r="31" spans="1:13" ht="15" thickBot="1" x14ac:dyDescent="0.35">
      <c r="A31" t="s">
        <v>256</v>
      </c>
      <c r="B31" t="s">
        <v>255</v>
      </c>
      <c r="C31" t="s">
        <v>219</v>
      </c>
      <c r="D31">
        <v>10</v>
      </c>
      <c r="E31">
        <v>50</v>
      </c>
      <c r="F31">
        <v>15</v>
      </c>
      <c r="G31">
        <v>191.3</v>
      </c>
      <c r="H31">
        <v>191.3</v>
      </c>
      <c r="I31" s="3">
        <f>IFERROR((H31-VLOOKUP(B31,FO_CONHECIDA!$A:$B,2,FALSE))/VLOOKUP(B31,FO_CONHECIDA!$A:$B,2,FALSE),0)</f>
        <v>0</v>
      </c>
      <c r="J31">
        <v>205</v>
      </c>
      <c r="K31">
        <v>568</v>
      </c>
      <c r="M31">
        <v>269.02791213989258</v>
      </c>
    </row>
    <row r="32" spans="1:13" ht="15" thickBot="1" x14ac:dyDescent="0.35">
      <c r="A32" s="13" t="s">
        <v>182</v>
      </c>
      <c r="B32" s="14" t="s">
        <v>255</v>
      </c>
      <c r="C32" s="14" t="s">
        <v>219</v>
      </c>
      <c r="D32" s="14">
        <v>10</v>
      </c>
      <c r="E32" s="14">
        <v>50</v>
      </c>
      <c r="F32" s="14">
        <v>20</v>
      </c>
      <c r="G32" s="14">
        <v>191.3</v>
      </c>
      <c r="H32" s="14">
        <v>191.3</v>
      </c>
      <c r="I32" s="3">
        <f>IFERROR((H32-VLOOKUP(B32,FO_CONHECIDA!$A:$B,2,FALSE))/VLOOKUP(B32,FO_CONHECIDA!$A:$B,2,FALSE),0)</f>
        <v>0</v>
      </c>
      <c r="J32" s="14">
        <v>274</v>
      </c>
      <c r="K32" s="14">
        <v>555</v>
      </c>
      <c r="L32" s="14"/>
      <c r="M32">
        <v>280</v>
      </c>
    </row>
    <row r="33" spans="1:13" x14ac:dyDescent="0.3">
      <c r="A33" t="s">
        <v>257</v>
      </c>
      <c r="B33" t="s">
        <v>255</v>
      </c>
      <c r="C33" t="s">
        <v>219</v>
      </c>
      <c r="D33">
        <v>10</v>
      </c>
      <c r="E33">
        <v>50</v>
      </c>
      <c r="F33">
        <v>25</v>
      </c>
      <c r="G33">
        <v>191.3</v>
      </c>
      <c r="H33">
        <v>191.3</v>
      </c>
      <c r="I33" s="3">
        <f>IFERROR((H33-VLOOKUP(B33,FO_CONHECIDA!$A:$B,2,FALSE))/VLOOKUP(B33,FO_CONHECIDA!$A:$B,2,FALSE),0)</f>
        <v>0</v>
      </c>
      <c r="J33">
        <v>274</v>
      </c>
      <c r="K33">
        <v>555</v>
      </c>
      <c r="M33">
        <v>300</v>
      </c>
    </row>
    <row r="34" spans="1:13" x14ac:dyDescent="0.3">
      <c r="A34" t="s">
        <v>258</v>
      </c>
      <c r="B34" t="s">
        <v>255</v>
      </c>
      <c r="C34" t="s">
        <v>219</v>
      </c>
      <c r="D34">
        <v>10</v>
      </c>
      <c r="E34">
        <v>50</v>
      </c>
      <c r="F34">
        <v>30</v>
      </c>
      <c r="G34">
        <v>191.3</v>
      </c>
      <c r="H34">
        <v>191.3</v>
      </c>
      <c r="I34" s="3">
        <f>IFERROR((H34-VLOOKUP(B34,FO_CONHECIDA!$A:$B,2,FALSE))/VLOOKUP(B34,FO_CONHECIDA!$A:$B,2,FALSE),0)</f>
        <v>0</v>
      </c>
      <c r="J34">
        <v>274</v>
      </c>
      <c r="K34">
        <v>555</v>
      </c>
      <c r="M34">
        <v>330</v>
      </c>
    </row>
    <row r="35" spans="1:13" x14ac:dyDescent="0.3">
      <c r="A35" t="s">
        <v>259</v>
      </c>
      <c r="B35" t="s">
        <v>255</v>
      </c>
      <c r="C35" t="s">
        <v>219</v>
      </c>
      <c r="D35">
        <v>10</v>
      </c>
      <c r="E35">
        <v>50</v>
      </c>
      <c r="F35">
        <v>40</v>
      </c>
      <c r="G35">
        <v>191.3</v>
      </c>
      <c r="H35">
        <v>191.3</v>
      </c>
      <c r="I35" s="3">
        <f>IFERROR((H35-VLOOKUP(B35,FO_CONHECIDA!$A:$B,2,FALSE))/VLOOKUP(B35,FO_CONHECIDA!$A:$B,2,FALSE),0)</f>
        <v>0</v>
      </c>
      <c r="J35">
        <v>274</v>
      </c>
      <c r="K35">
        <v>555</v>
      </c>
      <c r="M35">
        <v>350</v>
      </c>
    </row>
    <row r="36" spans="1:13" x14ac:dyDescent="0.3">
      <c r="A36" t="s">
        <v>260</v>
      </c>
      <c r="B36" t="s">
        <v>255</v>
      </c>
      <c r="C36" t="s">
        <v>219</v>
      </c>
      <c r="D36">
        <v>10</v>
      </c>
      <c r="E36">
        <v>50</v>
      </c>
      <c r="F36">
        <v>50</v>
      </c>
      <c r="G36">
        <v>191.3</v>
      </c>
      <c r="H36">
        <v>191.3</v>
      </c>
      <c r="I36" s="3">
        <f>IFERROR((H36-VLOOKUP(B36,FO_CONHECIDA!$A:$B,2,FALSE))/VLOOKUP(B36,FO_CONHECIDA!$A:$B,2,FALSE),0)</f>
        <v>0</v>
      </c>
      <c r="J36">
        <v>274</v>
      </c>
      <c r="K36">
        <v>555</v>
      </c>
      <c r="M36">
        <v>400</v>
      </c>
    </row>
    <row r="37" spans="1:13" s="12" customFormat="1" x14ac:dyDescent="0.3">
      <c r="A37" s="12" t="s">
        <v>261</v>
      </c>
      <c r="B37" s="12" t="s">
        <v>262</v>
      </c>
      <c r="C37" s="12" t="s">
        <v>219</v>
      </c>
      <c r="D37" s="12">
        <v>10</v>
      </c>
      <c r="E37" s="12">
        <v>50</v>
      </c>
      <c r="F37" s="12">
        <v>10</v>
      </c>
      <c r="G37" s="12">
        <v>191.3</v>
      </c>
      <c r="H37" s="12">
        <v>191.3</v>
      </c>
      <c r="I37" s="3">
        <f>IFERROR((H37-VLOOKUP(B37,FO_CONHECIDA!$A:$B,2,FALSE))/VLOOKUP(B37,FO_CONHECIDA!$A:$B,2,FALSE),0)</f>
        <v>0</v>
      </c>
      <c r="J37" s="12">
        <v>175</v>
      </c>
      <c r="K37" s="12">
        <v>382</v>
      </c>
      <c r="M37" s="12">
        <v>150</v>
      </c>
    </row>
    <row r="38" spans="1:13" ht="15" thickBot="1" x14ac:dyDescent="0.35">
      <c r="A38" t="s">
        <v>263</v>
      </c>
      <c r="B38" t="s">
        <v>262</v>
      </c>
      <c r="C38" t="s">
        <v>219</v>
      </c>
      <c r="D38">
        <v>10</v>
      </c>
      <c r="E38">
        <v>50</v>
      </c>
      <c r="F38">
        <v>15</v>
      </c>
      <c r="G38">
        <v>191.3</v>
      </c>
      <c r="H38">
        <v>191.3</v>
      </c>
      <c r="I38" s="3">
        <f>IFERROR((H38-VLOOKUP(B38,FO_CONHECIDA!$A:$B,2,FALSE))/VLOOKUP(B38,FO_CONHECIDA!$A:$B,2,FALSE),0)</f>
        <v>0</v>
      </c>
      <c r="J38">
        <v>175</v>
      </c>
      <c r="K38">
        <v>382</v>
      </c>
      <c r="M38">
        <v>160</v>
      </c>
    </row>
    <row r="39" spans="1:13" ht="15" thickBot="1" x14ac:dyDescent="0.35">
      <c r="A39" s="13" t="s">
        <v>185</v>
      </c>
      <c r="B39" s="14" t="s">
        <v>262</v>
      </c>
      <c r="C39" s="14" t="s">
        <v>219</v>
      </c>
      <c r="D39" s="14">
        <v>10</v>
      </c>
      <c r="E39" s="14">
        <v>50</v>
      </c>
      <c r="F39" s="14">
        <v>20</v>
      </c>
      <c r="G39" s="14">
        <v>191.3</v>
      </c>
      <c r="H39" s="14">
        <v>191.3</v>
      </c>
      <c r="I39" s="3">
        <f>IFERROR((H39-VLOOKUP(B39,FO_CONHECIDA!$A:$B,2,FALSE))/VLOOKUP(B39,FO_CONHECIDA!$A:$B,2,FALSE),0)</f>
        <v>0</v>
      </c>
      <c r="J39" s="14">
        <v>175</v>
      </c>
      <c r="K39" s="14">
        <v>382</v>
      </c>
      <c r="L39" s="14"/>
      <c r="M39">
        <v>172</v>
      </c>
    </row>
    <row r="40" spans="1:13" x14ac:dyDescent="0.3">
      <c r="A40" t="s">
        <v>264</v>
      </c>
      <c r="B40" t="s">
        <v>262</v>
      </c>
      <c r="C40" t="s">
        <v>219</v>
      </c>
      <c r="D40">
        <v>10</v>
      </c>
      <c r="E40">
        <v>50</v>
      </c>
      <c r="F40">
        <v>25</v>
      </c>
      <c r="G40">
        <v>191.3</v>
      </c>
      <c r="H40">
        <v>191.3</v>
      </c>
      <c r="I40" s="3">
        <f>IFERROR((H40-VLOOKUP(B40,FO_CONHECIDA!$A:$B,2,FALSE))/VLOOKUP(B40,FO_CONHECIDA!$A:$B,2,FALSE),0)</f>
        <v>0</v>
      </c>
      <c r="J40">
        <v>175</v>
      </c>
      <c r="K40">
        <v>382</v>
      </c>
      <c r="M40">
        <v>183</v>
      </c>
    </row>
    <row r="41" spans="1:13" x14ac:dyDescent="0.3">
      <c r="A41" t="s">
        <v>265</v>
      </c>
      <c r="B41" t="s">
        <v>262</v>
      </c>
      <c r="C41" t="s">
        <v>219</v>
      </c>
      <c r="D41">
        <v>10</v>
      </c>
      <c r="E41">
        <v>50</v>
      </c>
      <c r="F41">
        <v>30</v>
      </c>
      <c r="G41">
        <v>191.3</v>
      </c>
      <c r="H41">
        <v>191.3</v>
      </c>
      <c r="I41" s="3">
        <f>IFERROR((H41-VLOOKUP(B41,FO_CONHECIDA!$A:$B,2,FALSE))/VLOOKUP(B41,FO_CONHECIDA!$A:$B,2,FALSE),0)</f>
        <v>0</v>
      </c>
      <c r="J41">
        <v>175</v>
      </c>
      <c r="K41">
        <v>382</v>
      </c>
      <c r="M41">
        <v>255</v>
      </c>
    </row>
    <row r="42" spans="1:13" x14ac:dyDescent="0.3">
      <c r="A42" t="s">
        <v>266</v>
      </c>
      <c r="B42" t="s">
        <v>262</v>
      </c>
      <c r="C42" t="s">
        <v>219</v>
      </c>
      <c r="D42">
        <v>10</v>
      </c>
      <c r="E42">
        <v>50</v>
      </c>
      <c r="F42">
        <v>40</v>
      </c>
      <c r="G42">
        <v>191.3</v>
      </c>
      <c r="H42">
        <v>191.3</v>
      </c>
      <c r="I42" s="3">
        <f>IFERROR((H42-VLOOKUP(B42,FO_CONHECIDA!$A:$B,2,FALSE))/VLOOKUP(B42,FO_CONHECIDA!$A:$B,2,FALSE),0)</f>
        <v>0</v>
      </c>
      <c r="J42">
        <v>175</v>
      </c>
      <c r="K42">
        <v>382</v>
      </c>
      <c r="M42">
        <v>260</v>
      </c>
    </row>
    <row r="43" spans="1:13" x14ac:dyDescent="0.3">
      <c r="A43" t="s">
        <v>267</v>
      </c>
      <c r="B43" t="s">
        <v>262</v>
      </c>
      <c r="C43" t="s">
        <v>219</v>
      </c>
      <c r="D43">
        <v>10</v>
      </c>
      <c r="E43">
        <v>50</v>
      </c>
      <c r="F43">
        <v>50</v>
      </c>
      <c r="G43">
        <v>191.3</v>
      </c>
      <c r="H43">
        <v>191.3</v>
      </c>
      <c r="I43" s="3">
        <f>IFERROR((H43-VLOOKUP(B43,FO_CONHECIDA!$A:$B,2,FALSE))/VLOOKUP(B43,FO_CONHECIDA!$A:$B,2,FALSE),0)</f>
        <v>0</v>
      </c>
      <c r="J43">
        <v>175</v>
      </c>
      <c r="K43">
        <v>382</v>
      </c>
      <c r="M43">
        <v>280</v>
      </c>
    </row>
    <row r="44" spans="1:13" s="12" customFormat="1" x14ac:dyDescent="0.3">
      <c r="A44" s="12" t="s">
        <v>268</v>
      </c>
      <c r="B44" s="12" t="s">
        <v>269</v>
      </c>
      <c r="C44" s="12" t="s">
        <v>219</v>
      </c>
      <c r="D44" s="12">
        <v>10</v>
      </c>
      <c r="E44" s="12">
        <v>50</v>
      </c>
      <c r="F44" s="12">
        <v>10</v>
      </c>
      <c r="G44" s="12">
        <v>266.60000000000002</v>
      </c>
      <c r="H44" s="12">
        <v>266.60000000000002</v>
      </c>
      <c r="I44" s="3">
        <f>IFERROR((H44-VLOOKUP(B44,FO_CONHECIDA!$A:$B,2,FALSE))/VLOOKUP(B44,FO_CONHECIDA!$A:$B,2,FALSE),0)</f>
        <v>0.39362258233141667</v>
      </c>
      <c r="J44" s="12">
        <v>173</v>
      </c>
      <c r="K44" s="12">
        <v>315</v>
      </c>
      <c r="M44" s="12">
        <v>90</v>
      </c>
    </row>
    <row r="45" spans="1:13" ht="15" thickBot="1" x14ac:dyDescent="0.35">
      <c r="A45" t="s">
        <v>270</v>
      </c>
      <c r="B45" t="s">
        <v>269</v>
      </c>
      <c r="C45" t="s">
        <v>219</v>
      </c>
      <c r="D45">
        <v>10</v>
      </c>
      <c r="E45">
        <v>50</v>
      </c>
      <c r="F45">
        <v>15</v>
      </c>
      <c r="G45">
        <v>266.60000000000002</v>
      </c>
      <c r="H45">
        <v>266.60000000000002</v>
      </c>
      <c r="I45" s="3">
        <f>IFERROR((H45-VLOOKUP(B45,FO_CONHECIDA!$A:$B,2,FALSE))/VLOOKUP(B45,FO_CONHECIDA!$A:$B,2,FALSE),0)</f>
        <v>0.39362258233141667</v>
      </c>
      <c r="J45">
        <v>178</v>
      </c>
      <c r="K45">
        <v>323</v>
      </c>
      <c r="M45">
        <v>100</v>
      </c>
    </row>
    <row r="46" spans="1:13" ht="15" thickBot="1" x14ac:dyDescent="0.35">
      <c r="A46" s="13" t="s">
        <v>187</v>
      </c>
      <c r="B46" s="14" t="s">
        <v>269</v>
      </c>
      <c r="C46" s="14" t="s">
        <v>219</v>
      </c>
      <c r="D46" s="14">
        <v>10</v>
      </c>
      <c r="E46" s="14">
        <v>50</v>
      </c>
      <c r="F46" s="14">
        <v>20</v>
      </c>
      <c r="G46" s="14">
        <v>266.60000000000002</v>
      </c>
      <c r="H46" s="14">
        <v>191.3</v>
      </c>
      <c r="I46" s="3">
        <f>IFERROR((H46-VLOOKUP(B46,FO_CONHECIDA!$A:$B,2,FALSE))/VLOOKUP(B46,FO_CONHECIDA!$A:$B,2,FALSE),0)</f>
        <v>0</v>
      </c>
      <c r="J46" s="14">
        <v>183</v>
      </c>
      <c r="K46" s="14">
        <v>332</v>
      </c>
      <c r="L46" s="14"/>
      <c r="M46">
        <v>11.619469404220579</v>
      </c>
    </row>
    <row r="47" spans="1:13" x14ac:dyDescent="0.3">
      <c r="A47" t="s">
        <v>271</v>
      </c>
      <c r="B47" t="s">
        <v>269</v>
      </c>
      <c r="C47" t="s">
        <v>219</v>
      </c>
      <c r="D47">
        <v>10</v>
      </c>
      <c r="E47">
        <v>50</v>
      </c>
      <c r="F47">
        <v>25</v>
      </c>
      <c r="G47">
        <v>266.60000000000002</v>
      </c>
      <c r="H47">
        <v>191.3</v>
      </c>
      <c r="I47" s="3">
        <f>IFERROR((H47-VLOOKUP(B47,FO_CONHECIDA!$A:$B,2,FALSE))/VLOOKUP(B47,FO_CONHECIDA!$A:$B,2,FALSE),0)</f>
        <v>0</v>
      </c>
      <c r="J47">
        <v>188</v>
      </c>
      <c r="K47">
        <v>340</v>
      </c>
      <c r="M47">
        <v>12.7199113368988</v>
      </c>
    </row>
    <row r="48" spans="1:13" x14ac:dyDescent="0.3">
      <c r="A48" t="s">
        <v>272</v>
      </c>
      <c r="B48" t="s">
        <v>269</v>
      </c>
      <c r="C48" t="s">
        <v>219</v>
      </c>
      <c r="D48">
        <v>10</v>
      </c>
      <c r="E48">
        <v>50</v>
      </c>
      <c r="F48">
        <v>30</v>
      </c>
      <c r="G48">
        <v>266.60000000000002</v>
      </c>
      <c r="H48">
        <v>191.3</v>
      </c>
      <c r="I48" s="3">
        <f>IFERROR((H48-VLOOKUP(B48,FO_CONHECIDA!$A:$B,2,FALSE))/VLOOKUP(B48,FO_CONHECIDA!$A:$B,2,FALSE),0)</f>
        <v>0</v>
      </c>
      <c r="J48">
        <v>193</v>
      </c>
      <c r="K48">
        <v>346</v>
      </c>
      <c r="M48">
        <v>13.621276140213009</v>
      </c>
    </row>
    <row r="49" spans="1:13" x14ac:dyDescent="0.3">
      <c r="A49" t="s">
        <v>273</v>
      </c>
      <c r="B49" t="s">
        <v>269</v>
      </c>
      <c r="C49" t="s">
        <v>219</v>
      </c>
      <c r="D49">
        <v>10</v>
      </c>
      <c r="E49">
        <v>50</v>
      </c>
      <c r="F49">
        <v>40</v>
      </c>
      <c r="G49">
        <v>266.60000000000002</v>
      </c>
      <c r="H49">
        <v>191.3</v>
      </c>
      <c r="I49" s="3">
        <f>IFERROR((H49-VLOOKUP(B49,FO_CONHECIDA!$A:$B,2,FALSE))/VLOOKUP(B49,FO_CONHECIDA!$A:$B,2,FALSE),0)</f>
        <v>0</v>
      </c>
      <c r="J49">
        <v>203</v>
      </c>
      <c r="K49">
        <v>362</v>
      </c>
      <c r="M49">
        <v>15.21404051780701</v>
      </c>
    </row>
    <row r="50" spans="1:13" x14ac:dyDescent="0.3">
      <c r="A50" t="s">
        <v>274</v>
      </c>
      <c r="B50" t="s">
        <v>269</v>
      </c>
      <c r="C50" t="s">
        <v>219</v>
      </c>
      <c r="D50">
        <v>10</v>
      </c>
      <c r="E50">
        <v>50</v>
      </c>
      <c r="F50">
        <v>50</v>
      </c>
      <c r="G50">
        <v>266.60000000000002</v>
      </c>
      <c r="H50">
        <v>191.3</v>
      </c>
      <c r="I50" s="3">
        <f>IFERROR((H50-VLOOKUP(B50,FO_CONHECIDA!$A:$B,2,FALSE))/VLOOKUP(B50,FO_CONHECIDA!$A:$B,2,FALSE),0)</f>
        <v>0</v>
      </c>
      <c r="J50">
        <v>213</v>
      </c>
      <c r="K50">
        <v>378</v>
      </c>
      <c r="M50">
        <v>16.311134576797489</v>
      </c>
    </row>
    <row r="51" spans="1:13" s="12" customFormat="1" x14ac:dyDescent="0.3">
      <c r="A51" s="12" t="s">
        <v>275</v>
      </c>
      <c r="B51" s="12" t="s">
        <v>276</v>
      </c>
      <c r="C51" s="12" t="s">
        <v>219</v>
      </c>
      <c r="D51" s="12">
        <v>10</v>
      </c>
      <c r="E51" s="12">
        <v>50</v>
      </c>
      <c r="F51" s="12">
        <v>10</v>
      </c>
      <c r="G51" s="12">
        <v>191.3</v>
      </c>
      <c r="H51" s="12">
        <v>191.3</v>
      </c>
      <c r="I51" s="3">
        <f>IFERROR((H51-VLOOKUP(B51,FO_CONHECIDA!$A:$B,2,FALSE))/VLOOKUP(B51,FO_CONHECIDA!$A:$B,2,FALSE),0)</f>
        <v>0</v>
      </c>
      <c r="J51" s="12">
        <v>377</v>
      </c>
      <c r="K51" s="12">
        <v>788</v>
      </c>
      <c r="M51" s="12">
        <v>120.06140828132629</v>
      </c>
    </row>
    <row r="52" spans="1:13" ht="15" thickBot="1" x14ac:dyDescent="0.35">
      <c r="A52" t="s">
        <v>277</v>
      </c>
      <c r="B52" t="s">
        <v>276</v>
      </c>
      <c r="C52" t="s">
        <v>219</v>
      </c>
      <c r="D52">
        <v>10</v>
      </c>
      <c r="E52">
        <v>50</v>
      </c>
      <c r="F52">
        <v>15</v>
      </c>
      <c r="G52">
        <v>191.3</v>
      </c>
      <c r="H52">
        <v>191.3</v>
      </c>
      <c r="I52" s="3">
        <f>IFERROR((H52-VLOOKUP(B52,FO_CONHECIDA!$A:$B,2,FALSE))/VLOOKUP(B52,FO_CONHECIDA!$A:$B,2,FALSE),0)</f>
        <v>0</v>
      </c>
      <c r="J52">
        <v>377</v>
      </c>
      <c r="K52">
        <v>788</v>
      </c>
      <c r="M52">
        <v>127.987924337387</v>
      </c>
    </row>
    <row r="53" spans="1:13" ht="15" thickBot="1" x14ac:dyDescent="0.35">
      <c r="A53" s="13" t="s">
        <v>189</v>
      </c>
      <c r="B53" s="14" t="s">
        <v>276</v>
      </c>
      <c r="C53" s="14" t="s">
        <v>219</v>
      </c>
      <c r="D53" s="14">
        <v>10</v>
      </c>
      <c r="E53" s="14">
        <v>50</v>
      </c>
      <c r="F53" s="14">
        <v>20</v>
      </c>
      <c r="G53" s="14">
        <v>191.3</v>
      </c>
      <c r="H53" s="14">
        <v>191.3</v>
      </c>
      <c r="I53" s="3">
        <f>IFERROR((H53-VLOOKUP(B53,FO_CONHECIDA!$A:$B,2,FALSE))/VLOOKUP(B53,FO_CONHECIDA!$A:$B,2,FALSE),0)</f>
        <v>0</v>
      </c>
      <c r="J53" s="14">
        <v>377</v>
      </c>
      <c r="K53" s="14">
        <v>788</v>
      </c>
      <c r="L53" s="14"/>
      <c r="M53">
        <v>130.17907500267</v>
      </c>
    </row>
    <row r="54" spans="1:13" x14ac:dyDescent="0.3">
      <c r="A54" t="s">
        <v>278</v>
      </c>
      <c r="B54" t="s">
        <v>276</v>
      </c>
      <c r="C54" t="s">
        <v>219</v>
      </c>
      <c r="D54">
        <v>10</v>
      </c>
      <c r="E54">
        <v>50</v>
      </c>
      <c r="F54">
        <v>25</v>
      </c>
      <c r="G54">
        <v>191.3</v>
      </c>
      <c r="H54">
        <v>191.3</v>
      </c>
      <c r="I54" s="3">
        <f>IFERROR((H54-VLOOKUP(B54,FO_CONHECIDA!$A:$B,2,FALSE))/VLOOKUP(B54,FO_CONHECIDA!$A:$B,2,FALSE),0)</f>
        <v>0</v>
      </c>
      <c r="J54">
        <v>377</v>
      </c>
      <c r="K54">
        <v>788</v>
      </c>
      <c r="M54">
        <v>139.83117747306801</v>
      </c>
    </row>
    <row r="55" spans="1:13" x14ac:dyDescent="0.3">
      <c r="A55" t="s">
        <v>279</v>
      </c>
      <c r="B55" t="s">
        <v>276</v>
      </c>
      <c r="C55" t="s">
        <v>219</v>
      </c>
      <c r="D55">
        <v>10</v>
      </c>
      <c r="E55">
        <v>50</v>
      </c>
      <c r="F55">
        <v>30</v>
      </c>
      <c r="G55">
        <v>191.3</v>
      </c>
      <c r="H55">
        <v>191.3</v>
      </c>
      <c r="I55" s="3">
        <f>IFERROR((H55-VLOOKUP(B55,FO_CONHECIDA!$A:$B,2,FALSE))/VLOOKUP(B55,FO_CONHECIDA!$A:$B,2,FALSE),0)</f>
        <v>0</v>
      </c>
      <c r="J55">
        <v>377</v>
      </c>
      <c r="K55">
        <v>788</v>
      </c>
      <c r="M55">
        <v>140.24907207488999</v>
      </c>
    </row>
    <row r="56" spans="1:13" x14ac:dyDescent="0.3">
      <c r="A56" t="s">
        <v>280</v>
      </c>
      <c r="B56" t="s">
        <v>276</v>
      </c>
      <c r="C56" t="s">
        <v>219</v>
      </c>
      <c r="D56">
        <v>10</v>
      </c>
      <c r="E56">
        <v>50</v>
      </c>
      <c r="F56">
        <v>40</v>
      </c>
      <c r="G56">
        <v>191.3</v>
      </c>
      <c r="H56">
        <v>191.3</v>
      </c>
      <c r="I56" s="3">
        <f>IFERROR((H56-VLOOKUP(B56,FO_CONHECIDA!$A:$B,2,FALSE))/VLOOKUP(B56,FO_CONHECIDA!$A:$B,2,FALSE),0)</f>
        <v>0</v>
      </c>
      <c r="J56">
        <v>377</v>
      </c>
      <c r="K56">
        <v>788</v>
      </c>
      <c r="M56">
        <v>150.46107459068301</v>
      </c>
    </row>
    <row r="57" spans="1:13" x14ac:dyDescent="0.3">
      <c r="A57" t="s">
        <v>281</v>
      </c>
      <c r="B57" t="s">
        <v>276</v>
      </c>
      <c r="C57" t="s">
        <v>219</v>
      </c>
      <c r="D57">
        <v>10</v>
      </c>
      <c r="E57">
        <v>50</v>
      </c>
      <c r="F57">
        <v>50</v>
      </c>
      <c r="G57">
        <v>191.3</v>
      </c>
      <c r="H57">
        <v>191.3</v>
      </c>
      <c r="I57" s="3">
        <f>IFERROR((H57-VLOOKUP(B57,FO_CONHECIDA!$A:$B,2,FALSE))/VLOOKUP(B57,FO_CONHECIDA!$A:$B,2,FALSE),0)</f>
        <v>0</v>
      </c>
      <c r="J57">
        <v>377</v>
      </c>
      <c r="K57">
        <v>788</v>
      </c>
      <c r="M57">
        <v>162.09996604919399</v>
      </c>
    </row>
    <row r="58" spans="1:13" s="12" customFormat="1" x14ac:dyDescent="0.3">
      <c r="A58" s="12" t="s">
        <v>282</v>
      </c>
      <c r="B58" s="12" t="s">
        <v>283</v>
      </c>
      <c r="C58" s="12" t="s">
        <v>219</v>
      </c>
      <c r="D58" s="12">
        <v>10</v>
      </c>
      <c r="E58" s="12">
        <v>50</v>
      </c>
      <c r="F58" s="12">
        <v>10</v>
      </c>
      <c r="G58" s="12">
        <v>212.0200000000001</v>
      </c>
      <c r="H58" s="12">
        <v>212.0200000000001</v>
      </c>
      <c r="I58" s="3">
        <f>IFERROR((H58-VLOOKUP(B58,FO_CONHECIDA!$A:$B,2,FALSE))/VLOOKUP(B58,FO_CONHECIDA!$A:$B,2,FALSE),0)</f>
        <v>0.10831155253528532</v>
      </c>
      <c r="J58" s="12">
        <v>204</v>
      </c>
      <c r="K58" s="12">
        <v>534</v>
      </c>
      <c r="M58" s="12">
        <v>185</v>
      </c>
    </row>
    <row r="59" spans="1:13" x14ac:dyDescent="0.3">
      <c r="A59" t="s">
        <v>284</v>
      </c>
      <c r="B59" t="s">
        <v>283</v>
      </c>
      <c r="C59" t="s">
        <v>219</v>
      </c>
      <c r="D59">
        <v>10</v>
      </c>
      <c r="E59">
        <v>50</v>
      </c>
      <c r="F59">
        <v>15</v>
      </c>
      <c r="G59">
        <v>202.505504587156</v>
      </c>
      <c r="H59">
        <v>202.505504587156</v>
      </c>
      <c r="I59" s="3">
        <f>IFERROR((H59-VLOOKUP(B59,FO_CONHECIDA!$A:$B,2,FALSE))/VLOOKUP(B59,FO_CONHECIDA!$A:$B,2,FALSE),0)</f>
        <v>5.8575559786492343E-2</v>
      </c>
      <c r="J59">
        <v>209</v>
      </c>
      <c r="K59">
        <v>546</v>
      </c>
      <c r="M59">
        <v>191</v>
      </c>
    </row>
    <row r="60" spans="1:13" x14ac:dyDescent="0.3">
      <c r="A60" t="s">
        <v>191</v>
      </c>
      <c r="B60" t="s">
        <v>283</v>
      </c>
      <c r="C60" t="s">
        <v>219</v>
      </c>
      <c r="D60">
        <v>10</v>
      </c>
      <c r="E60">
        <v>50</v>
      </c>
      <c r="F60">
        <v>20</v>
      </c>
      <c r="G60">
        <v>192.2</v>
      </c>
      <c r="H60">
        <v>192.2</v>
      </c>
      <c r="I60" s="3">
        <f>IFERROR((H60-VLOOKUP(B60,FO_CONHECIDA!$A:$B,2,FALSE))/VLOOKUP(B60,FO_CONHECIDA!$A:$B,2,FALSE),0)</f>
        <v>4.7046523784630275E-3</v>
      </c>
      <c r="J60">
        <v>214</v>
      </c>
      <c r="K60">
        <v>581</v>
      </c>
      <c r="M60">
        <v>204.850182056427</v>
      </c>
    </row>
    <row r="61" spans="1:13" x14ac:dyDescent="0.3">
      <c r="A61" t="s">
        <v>285</v>
      </c>
      <c r="B61" t="s">
        <v>283</v>
      </c>
      <c r="C61" t="s">
        <v>219</v>
      </c>
      <c r="D61">
        <v>10</v>
      </c>
      <c r="E61">
        <v>50</v>
      </c>
      <c r="F61">
        <v>25</v>
      </c>
      <c r="G61">
        <v>192.2</v>
      </c>
      <c r="H61">
        <v>192.2</v>
      </c>
      <c r="I61" s="3">
        <f>IFERROR((H61-VLOOKUP(B61,FO_CONHECIDA!$A:$B,2,FALSE))/VLOOKUP(B61,FO_CONHECIDA!$A:$B,2,FALSE),0)</f>
        <v>4.7046523784630275E-3</v>
      </c>
      <c r="J61">
        <v>219</v>
      </c>
      <c r="K61">
        <v>577</v>
      </c>
      <c r="M61">
        <v>262.81123208999628</v>
      </c>
    </row>
    <row r="62" spans="1:13" x14ac:dyDescent="0.3">
      <c r="A62" t="s">
        <v>286</v>
      </c>
      <c r="B62" t="s">
        <v>283</v>
      </c>
      <c r="C62" t="s">
        <v>219</v>
      </c>
      <c r="D62">
        <v>10</v>
      </c>
      <c r="E62">
        <v>50</v>
      </c>
      <c r="F62">
        <v>30</v>
      </c>
      <c r="G62">
        <v>192.2</v>
      </c>
      <c r="H62">
        <v>192.2</v>
      </c>
      <c r="I62" s="3">
        <f>IFERROR((H62-VLOOKUP(B62,FO_CONHECIDA!$A:$B,2,FALSE))/VLOOKUP(B62,FO_CONHECIDA!$A:$B,2,FALSE),0)</f>
        <v>4.7046523784630275E-3</v>
      </c>
      <c r="J62">
        <v>262</v>
      </c>
      <c r="K62">
        <v>619</v>
      </c>
      <c r="M62">
        <v>278.62231349945068</v>
      </c>
    </row>
    <row r="63" spans="1:13" x14ac:dyDescent="0.3">
      <c r="A63" t="s">
        <v>287</v>
      </c>
      <c r="B63" t="s">
        <v>283</v>
      </c>
      <c r="C63" t="s">
        <v>219</v>
      </c>
      <c r="D63">
        <v>10</v>
      </c>
      <c r="E63">
        <v>50</v>
      </c>
      <c r="F63">
        <v>40</v>
      </c>
      <c r="G63">
        <v>192.2</v>
      </c>
      <c r="H63">
        <v>192.2</v>
      </c>
      <c r="I63" s="3">
        <f>IFERROR((H63-VLOOKUP(B63,FO_CONHECIDA!$A:$B,2,FALSE))/VLOOKUP(B63,FO_CONHECIDA!$A:$B,2,FALSE),0)</f>
        <v>4.7046523784630275E-3</v>
      </c>
      <c r="J63">
        <v>272</v>
      </c>
      <c r="K63">
        <v>637</v>
      </c>
      <c r="M63">
        <v>318.02018618583679</v>
      </c>
    </row>
    <row r="64" spans="1:13" x14ac:dyDescent="0.3">
      <c r="A64" t="s">
        <v>288</v>
      </c>
      <c r="B64" t="s">
        <v>283</v>
      </c>
      <c r="C64" t="s">
        <v>219</v>
      </c>
      <c r="D64">
        <v>10</v>
      </c>
      <c r="E64">
        <v>50</v>
      </c>
      <c r="F64">
        <v>50</v>
      </c>
      <c r="G64">
        <v>192.2</v>
      </c>
      <c r="H64">
        <v>192.2</v>
      </c>
      <c r="I64" s="3">
        <f>IFERROR((H64-VLOOKUP(B64,FO_CONHECIDA!$A:$B,2,FALSE))/VLOOKUP(B64,FO_CONHECIDA!$A:$B,2,FALSE),0)</f>
        <v>4.7046523784630275E-3</v>
      </c>
      <c r="J64">
        <v>282</v>
      </c>
      <c r="K64">
        <v>665</v>
      </c>
      <c r="M64">
        <v>359.24194931983948</v>
      </c>
    </row>
    <row r="65" spans="1:13" s="12" customFormat="1" x14ac:dyDescent="0.3">
      <c r="A65" s="12" t="s">
        <v>289</v>
      </c>
      <c r="B65" s="12" t="s">
        <v>290</v>
      </c>
      <c r="C65" s="12" t="s">
        <v>219</v>
      </c>
      <c r="D65" s="12">
        <v>30</v>
      </c>
      <c r="E65" s="12">
        <v>50</v>
      </c>
      <c r="F65" s="12">
        <v>10</v>
      </c>
      <c r="G65" s="12">
        <v>637.40000000000009</v>
      </c>
      <c r="H65" s="12">
        <v>637.4</v>
      </c>
      <c r="I65" s="3">
        <f>IFERROR((H65-VLOOKUP(B65,FO_CONHECIDA!$A:$B,2,FALSE))/VLOOKUP(B65,FO_CONHECIDA!$A:$B,2,FALSE),0)</f>
        <v>3.289580294927881E-2</v>
      </c>
      <c r="J65" s="12">
        <v>58</v>
      </c>
      <c r="K65" s="12">
        <v>402</v>
      </c>
      <c r="M65" s="12">
        <v>11.10953855514526</v>
      </c>
    </row>
    <row r="66" spans="1:13" x14ac:dyDescent="0.3">
      <c r="A66" t="s">
        <v>291</v>
      </c>
      <c r="B66" t="s">
        <v>290</v>
      </c>
      <c r="C66" t="s">
        <v>219</v>
      </c>
      <c r="D66">
        <v>30</v>
      </c>
      <c r="E66">
        <v>50</v>
      </c>
      <c r="F66">
        <v>15</v>
      </c>
      <c r="G66">
        <v>637.40000000000009</v>
      </c>
      <c r="H66">
        <v>637.39999999999986</v>
      </c>
      <c r="I66" s="3">
        <f>IFERROR((H66-VLOOKUP(B66,FO_CONHECIDA!$A:$B,2,FALSE))/VLOOKUP(B66,FO_CONHECIDA!$A:$B,2,FALSE),0)</f>
        <v>3.2895802949278623E-2</v>
      </c>
      <c r="J66">
        <v>63</v>
      </c>
      <c r="K66">
        <v>421</v>
      </c>
      <c r="M66">
        <v>14.42243456840515</v>
      </c>
    </row>
    <row r="67" spans="1:13" x14ac:dyDescent="0.3">
      <c r="A67" t="s">
        <v>194</v>
      </c>
      <c r="B67" t="s">
        <v>290</v>
      </c>
      <c r="C67" t="s">
        <v>219</v>
      </c>
      <c r="D67">
        <v>30</v>
      </c>
      <c r="E67">
        <v>50</v>
      </c>
      <c r="F67">
        <v>20</v>
      </c>
      <c r="G67">
        <v>637.40000000000009</v>
      </c>
      <c r="H67">
        <v>637.39999999999986</v>
      </c>
      <c r="I67" s="3">
        <f>IFERROR((H67-VLOOKUP(B67,FO_CONHECIDA!$A:$B,2,FALSE))/VLOOKUP(B67,FO_CONHECIDA!$A:$B,2,FALSE),0)</f>
        <v>3.2895802949278623E-2</v>
      </c>
      <c r="J67">
        <v>68</v>
      </c>
      <c r="K67">
        <v>444</v>
      </c>
      <c r="M67">
        <v>18.11943793296814</v>
      </c>
    </row>
    <row r="68" spans="1:13" x14ac:dyDescent="0.3">
      <c r="A68" t="s">
        <v>292</v>
      </c>
      <c r="B68" t="s">
        <v>290</v>
      </c>
      <c r="C68" t="s">
        <v>219</v>
      </c>
      <c r="D68">
        <v>30</v>
      </c>
      <c r="E68">
        <v>50</v>
      </c>
      <c r="F68">
        <v>25</v>
      </c>
      <c r="G68">
        <v>617.1</v>
      </c>
      <c r="H68">
        <v>617.09999999999991</v>
      </c>
      <c r="I68" s="3">
        <f>IFERROR((H68-VLOOKUP(B68,FO_CONHECIDA!$A:$B,2,FALSE))/VLOOKUP(B68,FO_CONHECIDA!$A:$B,2,FALSE),0)</f>
        <v>-1.8422757692694218E-16</v>
      </c>
      <c r="J68">
        <v>105</v>
      </c>
      <c r="K68">
        <v>562</v>
      </c>
      <c r="M68">
        <v>69.87714672088623</v>
      </c>
    </row>
    <row r="69" spans="1:13" x14ac:dyDescent="0.3">
      <c r="A69" t="s">
        <v>293</v>
      </c>
      <c r="B69" t="s">
        <v>290</v>
      </c>
      <c r="C69" t="s">
        <v>219</v>
      </c>
      <c r="D69">
        <v>30</v>
      </c>
      <c r="E69">
        <v>50</v>
      </c>
      <c r="F69">
        <v>30</v>
      </c>
      <c r="G69">
        <v>617.1</v>
      </c>
      <c r="H69">
        <v>617.09999999999991</v>
      </c>
      <c r="I69" s="3">
        <f>IFERROR((H69-VLOOKUP(B69,FO_CONHECIDA!$A:$B,2,FALSE))/VLOOKUP(B69,FO_CONHECIDA!$A:$B,2,FALSE),0)</f>
        <v>-1.8422757692694218E-16</v>
      </c>
      <c r="J69">
        <v>105</v>
      </c>
      <c r="K69">
        <v>562</v>
      </c>
      <c r="M69">
        <v>70.624671936035156</v>
      </c>
    </row>
    <row r="70" spans="1:13" x14ac:dyDescent="0.3">
      <c r="A70" t="s">
        <v>294</v>
      </c>
      <c r="B70" t="s">
        <v>290</v>
      </c>
      <c r="C70" t="s">
        <v>219</v>
      </c>
      <c r="D70">
        <v>30</v>
      </c>
      <c r="E70">
        <v>50</v>
      </c>
      <c r="F70">
        <v>40</v>
      </c>
      <c r="G70">
        <v>617.1</v>
      </c>
      <c r="H70">
        <v>617.09999999999991</v>
      </c>
      <c r="I70" s="3">
        <f>IFERROR((H70-VLOOKUP(B70,FO_CONHECIDA!$A:$B,2,FALSE))/VLOOKUP(B70,FO_CONHECIDA!$A:$B,2,FALSE),0)</f>
        <v>-1.8422757692694218E-16</v>
      </c>
      <c r="J70">
        <v>105</v>
      </c>
      <c r="K70">
        <v>562</v>
      </c>
      <c r="M70">
        <v>71.008325099945068</v>
      </c>
    </row>
    <row r="71" spans="1:13" x14ac:dyDescent="0.3">
      <c r="A71" t="s">
        <v>295</v>
      </c>
      <c r="B71" t="s">
        <v>290</v>
      </c>
      <c r="C71" t="s">
        <v>219</v>
      </c>
      <c r="D71">
        <v>30</v>
      </c>
      <c r="E71">
        <v>50</v>
      </c>
      <c r="F71">
        <v>50</v>
      </c>
      <c r="G71">
        <v>617.1</v>
      </c>
      <c r="H71">
        <v>617.09999999999991</v>
      </c>
      <c r="I71" s="3">
        <f>IFERROR((H71-VLOOKUP(B71,FO_CONHECIDA!$A:$B,2,FALSE))/VLOOKUP(B71,FO_CONHECIDA!$A:$B,2,FALSE),0)</f>
        <v>-1.8422757692694218E-16</v>
      </c>
      <c r="J71">
        <v>105</v>
      </c>
      <c r="K71">
        <v>562</v>
      </c>
      <c r="M71">
        <v>71.563538789749146</v>
      </c>
    </row>
    <row r="72" spans="1:13" s="12" customFormat="1" x14ac:dyDescent="0.3">
      <c r="A72" s="12" t="s">
        <v>296</v>
      </c>
      <c r="B72" s="12" t="s">
        <v>297</v>
      </c>
      <c r="C72" s="12" t="s">
        <v>219</v>
      </c>
      <c r="D72" s="12">
        <v>30</v>
      </c>
      <c r="E72" s="12">
        <v>50</v>
      </c>
      <c r="F72" s="12">
        <v>10</v>
      </c>
      <c r="G72" s="12">
        <v>553.70000000000005</v>
      </c>
      <c r="H72" s="12">
        <v>553.69999999999993</v>
      </c>
      <c r="I72" s="3">
        <f>IFERROR((H72-VLOOKUP(B72,FO_CONHECIDA!$A:$B,2,FALSE))/VLOOKUP(B72,FO_CONHECIDA!$A:$B,2,FALSE),0)</f>
        <v>1.206360811551802E-2</v>
      </c>
      <c r="J72" s="12">
        <v>186</v>
      </c>
      <c r="K72" s="12">
        <v>832</v>
      </c>
      <c r="M72" s="12">
        <v>38.82671046257019</v>
      </c>
    </row>
    <row r="73" spans="1:13" x14ac:dyDescent="0.3">
      <c r="A73" t="s">
        <v>298</v>
      </c>
      <c r="B73" t="s">
        <v>297</v>
      </c>
      <c r="C73" t="s">
        <v>219</v>
      </c>
      <c r="D73">
        <v>30</v>
      </c>
      <c r="E73">
        <v>50</v>
      </c>
      <c r="F73">
        <v>15</v>
      </c>
      <c r="G73">
        <v>553.70000000000005</v>
      </c>
      <c r="H73">
        <v>553.69999999999993</v>
      </c>
      <c r="I73" s="3">
        <f>IFERROR((H73-VLOOKUP(B73,FO_CONHECIDA!$A:$B,2,FALSE))/VLOOKUP(B73,FO_CONHECIDA!$A:$B,2,FALSE),0)</f>
        <v>1.206360811551802E-2</v>
      </c>
      <c r="J73">
        <v>191</v>
      </c>
      <c r="K73">
        <v>857</v>
      </c>
      <c r="M73">
        <v>61.261103868484497</v>
      </c>
    </row>
    <row r="74" spans="1:13" x14ac:dyDescent="0.3">
      <c r="A74" t="s">
        <v>196</v>
      </c>
      <c r="B74" t="s">
        <v>297</v>
      </c>
      <c r="C74" t="s">
        <v>219</v>
      </c>
      <c r="D74">
        <v>30</v>
      </c>
      <c r="E74">
        <v>50</v>
      </c>
      <c r="F74">
        <v>20</v>
      </c>
      <c r="G74">
        <v>547.1</v>
      </c>
      <c r="H74">
        <v>547.09999999999991</v>
      </c>
      <c r="I74" s="3">
        <f>IFERROR((H74-VLOOKUP(B74,FO_CONHECIDA!$A:$B,2,FALSE))/VLOOKUP(B74,FO_CONHECIDA!$A:$B,2,FALSE),0)</f>
        <v>-2.0779900881304337E-16</v>
      </c>
      <c r="J74">
        <v>213</v>
      </c>
      <c r="K74">
        <v>963</v>
      </c>
      <c r="M74">
        <v>174.37493252754209</v>
      </c>
    </row>
    <row r="75" spans="1:13" x14ac:dyDescent="0.3">
      <c r="A75" t="s">
        <v>299</v>
      </c>
      <c r="B75" t="s">
        <v>297</v>
      </c>
      <c r="C75" t="s">
        <v>219</v>
      </c>
      <c r="D75">
        <v>30</v>
      </c>
      <c r="E75">
        <v>50</v>
      </c>
      <c r="F75">
        <v>25</v>
      </c>
      <c r="G75">
        <v>547.1</v>
      </c>
      <c r="H75">
        <v>547.09999999999991</v>
      </c>
      <c r="I75" s="3">
        <f>IFERROR((H75-VLOOKUP(B75,FO_CONHECIDA!$A:$B,2,FALSE))/VLOOKUP(B75,FO_CONHECIDA!$A:$B,2,FALSE),0)</f>
        <v>-2.0779900881304337E-16</v>
      </c>
      <c r="J75">
        <v>213</v>
      </c>
      <c r="K75">
        <v>963</v>
      </c>
      <c r="M75">
        <v>174.16237115859991</v>
      </c>
    </row>
    <row r="76" spans="1:13" x14ac:dyDescent="0.3">
      <c r="A76" t="s">
        <v>300</v>
      </c>
      <c r="B76" t="s">
        <v>297</v>
      </c>
      <c r="C76" t="s">
        <v>219</v>
      </c>
      <c r="D76">
        <v>30</v>
      </c>
      <c r="E76">
        <v>50</v>
      </c>
      <c r="F76">
        <v>30</v>
      </c>
      <c r="G76">
        <v>547.1</v>
      </c>
      <c r="H76">
        <v>547.09999999999991</v>
      </c>
      <c r="I76" s="3">
        <f>IFERROR((H76-VLOOKUP(B76,FO_CONHECIDA!$A:$B,2,FALSE))/VLOOKUP(B76,FO_CONHECIDA!$A:$B,2,FALSE),0)</f>
        <v>-2.0779900881304337E-16</v>
      </c>
      <c r="J76">
        <v>213</v>
      </c>
      <c r="K76">
        <v>963</v>
      </c>
      <c r="M76">
        <v>175.272173166275</v>
      </c>
    </row>
    <row r="77" spans="1:13" x14ac:dyDescent="0.3">
      <c r="A77" t="s">
        <v>301</v>
      </c>
      <c r="B77" t="s">
        <v>297</v>
      </c>
      <c r="C77" t="s">
        <v>219</v>
      </c>
      <c r="D77">
        <v>30</v>
      </c>
      <c r="E77">
        <v>50</v>
      </c>
      <c r="F77">
        <v>40</v>
      </c>
      <c r="G77">
        <v>547.1</v>
      </c>
      <c r="H77">
        <v>547.09999999999991</v>
      </c>
      <c r="I77" s="3">
        <f>IFERROR((H77-VLOOKUP(B77,FO_CONHECIDA!$A:$B,2,FALSE))/VLOOKUP(B77,FO_CONHECIDA!$A:$B,2,FALSE),0)</f>
        <v>-2.0779900881304337E-16</v>
      </c>
      <c r="J77">
        <v>213</v>
      </c>
      <c r="K77">
        <v>963</v>
      </c>
      <c r="M77">
        <v>181.10196018218991</v>
      </c>
    </row>
    <row r="78" spans="1:13" x14ac:dyDescent="0.3">
      <c r="A78" t="s">
        <v>302</v>
      </c>
      <c r="B78" t="s">
        <v>297</v>
      </c>
      <c r="C78" t="s">
        <v>219</v>
      </c>
      <c r="D78">
        <v>30</v>
      </c>
      <c r="E78">
        <v>50</v>
      </c>
      <c r="F78">
        <v>50</v>
      </c>
      <c r="G78">
        <v>547.1</v>
      </c>
      <c r="H78">
        <v>547.09999999999991</v>
      </c>
      <c r="I78" s="3">
        <f>IFERROR((H78-VLOOKUP(B78,FO_CONHECIDA!$A:$B,2,FALSE))/VLOOKUP(B78,FO_CONHECIDA!$A:$B,2,FALSE),0)</f>
        <v>-2.0779900881304337E-16</v>
      </c>
      <c r="J78">
        <v>213</v>
      </c>
      <c r="K78">
        <v>963</v>
      </c>
      <c r="M78">
        <v>181.17524480819699</v>
      </c>
    </row>
    <row r="79" spans="1:13" s="12" customFormat="1" x14ac:dyDescent="0.3">
      <c r="A79" s="12" t="s">
        <v>303</v>
      </c>
      <c r="B79" s="12" t="s">
        <v>304</v>
      </c>
      <c r="C79" s="12" t="s">
        <v>219</v>
      </c>
      <c r="D79" s="12">
        <v>30</v>
      </c>
      <c r="E79" s="12">
        <v>50</v>
      </c>
      <c r="F79" s="12">
        <v>10</v>
      </c>
      <c r="G79" s="12">
        <v>485.2</v>
      </c>
      <c r="H79" s="12">
        <v>474.3</v>
      </c>
      <c r="I79" s="3">
        <f>IFERROR((H79-VLOOKUP(B79,FO_CONHECIDA!$A:$B,2,FALSE))/VLOOKUP(B79,FO_CONHECIDA!$A:$B,2,FALSE),0)</f>
        <v>4.3334799824021088E-2</v>
      </c>
      <c r="J79" s="12">
        <v>97</v>
      </c>
      <c r="K79" s="12">
        <v>689</v>
      </c>
      <c r="M79" s="12">
        <v>180</v>
      </c>
    </row>
    <row r="80" spans="1:13" x14ac:dyDescent="0.3">
      <c r="A80" t="s">
        <v>305</v>
      </c>
      <c r="B80" t="s">
        <v>304</v>
      </c>
      <c r="C80" t="s">
        <v>219</v>
      </c>
      <c r="D80">
        <v>30</v>
      </c>
      <c r="E80">
        <v>50</v>
      </c>
      <c r="F80">
        <v>15</v>
      </c>
      <c r="G80">
        <v>454.6</v>
      </c>
      <c r="H80">
        <v>454.59999999999991</v>
      </c>
      <c r="I80" s="3">
        <f>IFERROR((H80-VLOOKUP(B80,FO_CONHECIDA!$A:$B,2,FALSE))/VLOOKUP(B80,FO_CONHECIDA!$A:$B,2,FALSE),0)</f>
        <v>-2.5008103326356364E-16</v>
      </c>
      <c r="J80">
        <v>163</v>
      </c>
      <c r="K80">
        <v>710</v>
      </c>
      <c r="M80">
        <v>231.2870206832886</v>
      </c>
    </row>
    <row r="81" spans="1:13" x14ac:dyDescent="0.3">
      <c r="A81" t="s">
        <v>197</v>
      </c>
      <c r="B81" t="s">
        <v>304</v>
      </c>
      <c r="C81" t="s">
        <v>219</v>
      </c>
      <c r="D81">
        <v>30</v>
      </c>
      <c r="E81">
        <v>50</v>
      </c>
      <c r="F81">
        <v>20</v>
      </c>
      <c r="G81">
        <v>454.6</v>
      </c>
      <c r="H81">
        <v>454.59999999999991</v>
      </c>
      <c r="I81" s="3">
        <f>IFERROR((H81-VLOOKUP(B81,FO_CONHECIDA!$A:$B,2,FALSE))/VLOOKUP(B81,FO_CONHECIDA!$A:$B,2,FALSE),0)</f>
        <v>-2.5008103326356364E-16</v>
      </c>
      <c r="J81">
        <v>168</v>
      </c>
      <c r="K81">
        <v>721</v>
      </c>
      <c r="M81">
        <v>267.24161267280579</v>
      </c>
    </row>
    <row r="82" spans="1:13" x14ac:dyDescent="0.3">
      <c r="A82" t="s">
        <v>306</v>
      </c>
      <c r="B82" t="s">
        <v>304</v>
      </c>
      <c r="C82" t="s">
        <v>219</v>
      </c>
      <c r="D82">
        <v>30</v>
      </c>
      <c r="E82">
        <v>50</v>
      </c>
      <c r="F82">
        <v>25</v>
      </c>
      <c r="G82">
        <v>454.6</v>
      </c>
      <c r="H82">
        <v>454.59999999999991</v>
      </c>
      <c r="I82" s="3">
        <f>IFERROR((H82-VLOOKUP(B82,FO_CONHECIDA!$A:$B,2,FALSE))/VLOOKUP(B82,FO_CONHECIDA!$A:$B,2,FALSE),0)</f>
        <v>-2.5008103326356364E-16</v>
      </c>
      <c r="J82">
        <v>168</v>
      </c>
      <c r="K82">
        <v>721</v>
      </c>
      <c r="M82">
        <v>268.41512250900269</v>
      </c>
    </row>
    <row r="83" spans="1:13" x14ac:dyDescent="0.3">
      <c r="A83" t="s">
        <v>307</v>
      </c>
      <c r="B83" t="s">
        <v>304</v>
      </c>
      <c r="C83" t="s">
        <v>219</v>
      </c>
      <c r="D83">
        <v>30</v>
      </c>
      <c r="E83">
        <v>50</v>
      </c>
      <c r="F83">
        <v>30</v>
      </c>
      <c r="G83">
        <v>454.6</v>
      </c>
      <c r="H83">
        <v>454.59999999999991</v>
      </c>
      <c r="I83" s="3">
        <f>IFERROR((H83-VLOOKUP(B83,FO_CONHECIDA!$A:$B,2,FALSE))/VLOOKUP(B83,FO_CONHECIDA!$A:$B,2,FALSE),0)</f>
        <v>-2.5008103326356364E-16</v>
      </c>
      <c r="J83">
        <v>168</v>
      </c>
      <c r="K83">
        <v>721</v>
      </c>
      <c r="M83">
        <v>268.61835837364202</v>
      </c>
    </row>
    <row r="84" spans="1:13" x14ac:dyDescent="0.3">
      <c r="A84" t="s">
        <v>308</v>
      </c>
      <c r="B84" t="s">
        <v>304</v>
      </c>
      <c r="C84" t="s">
        <v>219</v>
      </c>
      <c r="D84">
        <v>30</v>
      </c>
      <c r="E84">
        <v>50</v>
      </c>
      <c r="F84">
        <v>40</v>
      </c>
      <c r="G84">
        <v>454.6</v>
      </c>
      <c r="H84">
        <v>454.59999999999991</v>
      </c>
      <c r="I84" s="3">
        <f>IFERROR((H84-VLOOKUP(B84,FO_CONHECIDA!$A:$B,2,FALSE))/VLOOKUP(B84,FO_CONHECIDA!$A:$B,2,FALSE),0)</f>
        <v>-2.5008103326356364E-16</v>
      </c>
      <c r="J84">
        <v>168</v>
      </c>
      <c r="K84">
        <v>721</v>
      </c>
      <c r="M84">
        <v>270.61836314201349</v>
      </c>
    </row>
    <row r="85" spans="1:13" x14ac:dyDescent="0.3">
      <c r="A85" t="s">
        <v>309</v>
      </c>
      <c r="B85" t="s">
        <v>304</v>
      </c>
      <c r="C85" t="s">
        <v>219</v>
      </c>
      <c r="D85">
        <v>30</v>
      </c>
      <c r="E85">
        <v>50</v>
      </c>
      <c r="F85">
        <v>50</v>
      </c>
      <c r="G85">
        <v>454.6</v>
      </c>
      <c r="H85">
        <v>454.59999999999991</v>
      </c>
      <c r="I85" s="3">
        <f>IFERROR((H85-VLOOKUP(B85,FO_CONHECIDA!$A:$B,2,FALSE))/VLOOKUP(B85,FO_CONHECIDA!$A:$B,2,FALSE),0)</f>
        <v>-2.5008103326356364E-16</v>
      </c>
      <c r="J85">
        <v>168</v>
      </c>
      <c r="K85">
        <v>721</v>
      </c>
      <c r="M85">
        <v>272.63373780250549</v>
      </c>
    </row>
    <row r="86" spans="1:13" s="12" customFormat="1" x14ac:dyDescent="0.3">
      <c r="A86" s="12" t="s">
        <v>310</v>
      </c>
      <c r="B86" s="12" t="s">
        <v>311</v>
      </c>
      <c r="C86" s="12" t="s">
        <v>219</v>
      </c>
      <c r="D86" s="12">
        <v>30</v>
      </c>
      <c r="E86" s="12">
        <v>50</v>
      </c>
      <c r="F86" s="12">
        <v>10</v>
      </c>
      <c r="G86" s="12">
        <v>446.6</v>
      </c>
      <c r="H86" s="12">
        <v>446.6</v>
      </c>
      <c r="I86" s="3">
        <f>IFERROR((H86-VLOOKUP(B86,FO_CONHECIDA!$A:$B,2,FALSE))/VLOOKUP(B86,FO_CONHECIDA!$A:$B,2,FALSE),0)</f>
        <v>7.1240105540897214E-2</v>
      </c>
      <c r="J86" s="12">
        <v>155</v>
      </c>
      <c r="K86" s="12">
        <v>480</v>
      </c>
      <c r="M86" s="12">
        <v>10.46584105491638</v>
      </c>
    </row>
    <row r="87" spans="1:13" x14ac:dyDescent="0.3">
      <c r="A87" t="s">
        <v>312</v>
      </c>
      <c r="B87" t="s">
        <v>311</v>
      </c>
      <c r="C87" t="s">
        <v>219</v>
      </c>
      <c r="D87">
        <v>30</v>
      </c>
      <c r="E87">
        <v>50</v>
      </c>
      <c r="F87">
        <v>15</v>
      </c>
      <c r="G87">
        <v>446.6</v>
      </c>
      <c r="H87">
        <v>446.6</v>
      </c>
      <c r="I87" s="3">
        <f>IFERROR((H87-VLOOKUP(B87,FO_CONHECIDA!$A:$B,2,FALSE))/VLOOKUP(B87,FO_CONHECIDA!$A:$B,2,FALSE),0)</f>
        <v>7.1240105540897214E-2</v>
      </c>
      <c r="J87">
        <v>160</v>
      </c>
      <c r="K87">
        <v>491</v>
      </c>
      <c r="M87">
        <v>10.88308954238892</v>
      </c>
    </row>
    <row r="88" spans="1:13" x14ac:dyDescent="0.3">
      <c r="A88" t="s">
        <v>198</v>
      </c>
      <c r="B88" t="s">
        <v>311</v>
      </c>
      <c r="C88" t="s">
        <v>219</v>
      </c>
      <c r="D88">
        <v>30</v>
      </c>
      <c r="E88">
        <v>50</v>
      </c>
      <c r="F88">
        <v>20</v>
      </c>
      <c r="G88">
        <v>416.9</v>
      </c>
      <c r="H88">
        <v>416.9</v>
      </c>
      <c r="I88" s="3">
        <f>IFERROR((H88-VLOOKUP(B88,FO_CONHECIDA!$A:$B,2,FALSE))/VLOOKUP(B88,FO_CONHECIDA!$A:$B,2,FALSE),0)</f>
        <v>0</v>
      </c>
      <c r="J88">
        <v>253</v>
      </c>
      <c r="K88">
        <v>685</v>
      </c>
      <c r="M88">
        <v>260.16913151741028</v>
      </c>
    </row>
    <row r="89" spans="1:13" x14ac:dyDescent="0.3">
      <c r="A89" t="s">
        <v>313</v>
      </c>
      <c r="B89" t="s">
        <v>311</v>
      </c>
      <c r="C89" t="s">
        <v>219</v>
      </c>
      <c r="D89">
        <v>30</v>
      </c>
      <c r="E89">
        <v>50</v>
      </c>
      <c r="F89">
        <v>25</v>
      </c>
      <c r="G89">
        <v>416.9</v>
      </c>
      <c r="H89">
        <v>416.9</v>
      </c>
      <c r="I89" s="3">
        <f>IFERROR((H89-VLOOKUP(B89,FO_CONHECIDA!$A:$B,2,FALSE))/VLOOKUP(B89,FO_CONHECIDA!$A:$B,2,FALSE),0)</f>
        <v>0</v>
      </c>
      <c r="J89">
        <v>253</v>
      </c>
      <c r="K89">
        <v>685</v>
      </c>
      <c r="M89">
        <v>261.48076200485229</v>
      </c>
    </row>
    <row r="90" spans="1:13" x14ac:dyDescent="0.3">
      <c r="A90" t="s">
        <v>314</v>
      </c>
      <c r="B90" t="s">
        <v>311</v>
      </c>
      <c r="C90" t="s">
        <v>219</v>
      </c>
      <c r="D90">
        <v>30</v>
      </c>
      <c r="E90">
        <v>50</v>
      </c>
      <c r="F90">
        <v>30</v>
      </c>
      <c r="G90">
        <v>416.9</v>
      </c>
      <c r="H90">
        <v>416.9</v>
      </c>
      <c r="I90" s="3">
        <f>IFERROR((H90-VLOOKUP(B90,FO_CONHECIDA!$A:$B,2,FALSE))/VLOOKUP(B90,FO_CONHECIDA!$A:$B,2,FALSE),0)</f>
        <v>0</v>
      </c>
      <c r="J90">
        <v>253</v>
      </c>
      <c r="K90">
        <v>685</v>
      </c>
      <c r="M90">
        <v>263.40976428985601</v>
      </c>
    </row>
    <row r="91" spans="1:13" x14ac:dyDescent="0.3">
      <c r="A91" t="s">
        <v>315</v>
      </c>
      <c r="B91" t="s">
        <v>311</v>
      </c>
      <c r="C91" t="s">
        <v>219</v>
      </c>
      <c r="D91">
        <v>30</v>
      </c>
      <c r="E91">
        <v>50</v>
      </c>
      <c r="F91">
        <v>40</v>
      </c>
      <c r="G91">
        <v>416.9</v>
      </c>
      <c r="H91">
        <v>416.9</v>
      </c>
      <c r="I91" s="3">
        <f>IFERROR((H91-VLOOKUP(B91,FO_CONHECIDA!$A:$B,2,FALSE))/VLOOKUP(B91,FO_CONHECIDA!$A:$B,2,FALSE),0)</f>
        <v>0</v>
      </c>
      <c r="J91">
        <v>253</v>
      </c>
      <c r="K91">
        <v>685</v>
      </c>
      <c r="M91">
        <v>268.93919539451599</v>
      </c>
    </row>
    <row r="92" spans="1:13" x14ac:dyDescent="0.3">
      <c r="A92" t="s">
        <v>316</v>
      </c>
      <c r="B92" t="s">
        <v>311</v>
      </c>
      <c r="C92" t="s">
        <v>219</v>
      </c>
      <c r="D92">
        <v>30</v>
      </c>
      <c r="E92">
        <v>50</v>
      </c>
      <c r="F92">
        <v>50</v>
      </c>
      <c r="G92">
        <v>416.9</v>
      </c>
      <c r="H92">
        <v>416.9</v>
      </c>
      <c r="I92" s="3">
        <f>IFERROR((H92-VLOOKUP(B92,FO_CONHECIDA!$A:$B,2,FALSE))/VLOOKUP(B92,FO_CONHECIDA!$A:$B,2,FALSE),0)</f>
        <v>0</v>
      </c>
      <c r="J92">
        <v>253</v>
      </c>
      <c r="K92">
        <v>685</v>
      </c>
      <c r="M92">
        <v>266.76711273193359</v>
      </c>
    </row>
    <row r="93" spans="1:13" s="12" customFormat="1" x14ac:dyDescent="0.3">
      <c r="A93" s="12" t="s">
        <v>317</v>
      </c>
      <c r="B93" s="12" t="s">
        <v>318</v>
      </c>
      <c r="C93" s="12" t="s">
        <v>219</v>
      </c>
      <c r="D93" s="12">
        <v>30</v>
      </c>
      <c r="E93" s="12">
        <v>50</v>
      </c>
      <c r="F93" s="12">
        <v>10</v>
      </c>
      <c r="G93" s="12">
        <v>530.5</v>
      </c>
      <c r="H93" s="12">
        <v>530.5</v>
      </c>
      <c r="I93" s="3">
        <f>IFERROR((H93-VLOOKUP(B93,FO_CONHECIDA!$A:$B,2,FALSE))/VLOOKUP(B93,FO_CONHECIDA!$A:$B,2,FALSE),0)</f>
        <v>0</v>
      </c>
      <c r="J93" s="12">
        <v>125</v>
      </c>
      <c r="K93" s="12">
        <v>628</v>
      </c>
      <c r="M93" s="12">
        <v>214.29079031944269</v>
      </c>
    </row>
    <row r="94" spans="1:13" x14ac:dyDescent="0.3">
      <c r="A94" t="s">
        <v>319</v>
      </c>
      <c r="B94" t="s">
        <v>318</v>
      </c>
      <c r="C94" t="s">
        <v>219</v>
      </c>
      <c r="D94">
        <v>30</v>
      </c>
      <c r="E94">
        <v>50</v>
      </c>
      <c r="F94">
        <v>15</v>
      </c>
      <c r="G94">
        <v>530.5</v>
      </c>
      <c r="H94">
        <v>530.5</v>
      </c>
      <c r="I94" s="3">
        <f>IFERROR((H94-VLOOKUP(B94,FO_CONHECIDA!$A:$B,2,FALSE))/VLOOKUP(B94,FO_CONHECIDA!$A:$B,2,FALSE),0)</f>
        <v>0</v>
      </c>
      <c r="J94">
        <v>125</v>
      </c>
      <c r="K94">
        <v>628</v>
      </c>
      <c r="M94">
        <v>214.80623388290411</v>
      </c>
    </row>
    <row r="95" spans="1:13" x14ac:dyDescent="0.3">
      <c r="A95" t="s">
        <v>199</v>
      </c>
      <c r="B95" t="s">
        <v>318</v>
      </c>
      <c r="C95" t="s">
        <v>219</v>
      </c>
      <c r="D95">
        <v>30</v>
      </c>
      <c r="E95">
        <v>50</v>
      </c>
      <c r="F95">
        <v>20</v>
      </c>
      <c r="G95">
        <v>530.5</v>
      </c>
      <c r="H95">
        <v>530.5</v>
      </c>
      <c r="I95" s="3">
        <f>IFERROR((H95-VLOOKUP(B95,FO_CONHECIDA!$A:$B,2,FALSE))/VLOOKUP(B95,FO_CONHECIDA!$A:$B,2,FALSE),0)</f>
        <v>0</v>
      </c>
      <c r="J95">
        <v>125</v>
      </c>
      <c r="K95">
        <v>628</v>
      </c>
      <c r="M95">
        <v>217.04352617263791</v>
      </c>
    </row>
    <row r="96" spans="1:13" x14ac:dyDescent="0.3">
      <c r="A96" t="s">
        <v>320</v>
      </c>
      <c r="B96" t="s">
        <v>318</v>
      </c>
      <c r="C96" t="s">
        <v>219</v>
      </c>
      <c r="D96">
        <v>30</v>
      </c>
      <c r="E96">
        <v>50</v>
      </c>
      <c r="F96">
        <v>25</v>
      </c>
      <c r="G96">
        <v>530.5</v>
      </c>
      <c r="H96">
        <v>530.5</v>
      </c>
      <c r="I96" s="3">
        <f>IFERROR((H96-VLOOKUP(B96,FO_CONHECIDA!$A:$B,2,FALSE))/VLOOKUP(B96,FO_CONHECIDA!$A:$B,2,FALSE),0)</f>
        <v>0</v>
      </c>
      <c r="J96">
        <v>125</v>
      </c>
      <c r="K96">
        <v>628</v>
      </c>
      <c r="M96">
        <v>217.77084422111511</v>
      </c>
    </row>
    <row r="97" spans="1:13" x14ac:dyDescent="0.3">
      <c r="A97" t="s">
        <v>321</v>
      </c>
      <c r="B97" t="s">
        <v>318</v>
      </c>
      <c r="C97" t="s">
        <v>219</v>
      </c>
      <c r="D97">
        <v>30</v>
      </c>
      <c r="E97">
        <v>50</v>
      </c>
      <c r="F97">
        <v>30</v>
      </c>
      <c r="G97">
        <v>530.5</v>
      </c>
      <c r="H97">
        <v>530.5</v>
      </c>
      <c r="I97" s="3">
        <f>IFERROR((H97-VLOOKUP(B97,FO_CONHECIDA!$A:$B,2,FALSE))/VLOOKUP(B97,FO_CONHECIDA!$A:$B,2,FALSE),0)</f>
        <v>0</v>
      </c>
      <c r="J97">
        <v>125</v>
      </c>
      <c r="K97">
        <v>628</v>
      </c>
      <c r="M97">
        <v>218.95276999473569</v>
      </c>
    </row>
    <row r="98" spans="1:13" x14ac:dyDescent="0.3">
      <c r="A98" t="s">
        <v>322</v>
      </c>
      <c r="B98" t="s">
        <v>318</v>
      </c>
      <c r="C98" t="s">
        <v>219</v>
      </c>
      <c r="D98">
        <v>30</v>
      </c>
      <c r="E98">
        <v>50</v>
      </c>
      <c r="F98">
        <v>40</v>
      </c>
      <c r="G98">
        <v>530.5</v>
      </c>
      <c r="H98">
        <v>530.5</v>
      </c>
      <c r="I98" s="3">
        <f>IFERROR((H98-VLOOKUP(B98,FO_CONHECIDA!$A:$B,2,FALSE))/VLOOKUP(B98,FO_CONHECIDA!$A:$B,2,FALSE),0)</f>
        <v>0</v>
      </c>
      <c r="J98">
        <v>125</v>
      </c>
      <c r="K98">
        <v>628</v>
      </c>
      <c r="M98">
        <v>221.78291177749631</v>
      </c>
    </row>
    <row r="99" spans="1:13" x14ac:dyDescent="0.3">
      <c r="A99" t="s">
        <v>323</v>
      </c>
      <c r="B99" t="s">
        <v>318</v>
      </c>
      <c r="C99" t="s">
        <v>219</v>
      </c>
      <c r="D99">
        <v>30</v>
      </c>
      <c r="E99">
        <v>50</v>
      </c>
      <c r="F99">
        <v>50</v>
      </c>
      <c r="G99">
        <v>530.5</v>
      </c>
      <c r="H99">
        <v>530.5</v>
      </c>
      <c r="I99" s="3">
        <f>IFERROR((H99-VLOOKUP(B99,FO_CONHECIDA!$A:$B,2,FALSE))/VLOOKUP(B99,FO_CONHECIDA!$A:$B,2,FALSE),0)</f>
        <v>0</v>
      </c>
      <c r="J99">
        <v>125</v>
      </c>
      <c r="K99">
        <v>628</v>
      </c>
      <c r="M99">
        <v>222.6402313709259</v>
      </c>
    </row>
    <row r="100" spans="1:13" s="12" customFormat="1" x14ac:dyDescent="0.3">
      <c r="A100" s="12" t="s">
        <v>324</v>
      </c>
      <c r="B100" s="12" t="s">
        <v>325</v>
      </c>
      <c r="C100" s="12" t="s">
        <v>219</v>
      </c>
      <c r="D100" s="12">
        <v>30</v>
      </c>
      <c r="E100" s="12">
        <v>50</v>
      </c>
      <c r="F100" s="12">
        <v>10</v>
      </c>
      <c r="G100" s="12">
        <v>476</v>
      </c>
      <c r="H100" s="12">
        <v>476</v>
      </c>
      <c r="I100" s="3">
        <f>IFERROR((H100-VLOOKUP(B100,FO_CONHECIDA!$A:$B,2,FALSE))/VLOOKUP(B100,FO_CONHECIDA!$A:$B,2,FALSE),0)</f>
        <v>2.2776106574989307E-2</v>
      </c>
      <c r="J100" s="12">
        <v>143</v>
      </c>
      <c r="K100" s="12">
        <v>715</v>
      </c>
      <c r="M100" s="12">
        <v>680</v>
      </c>
    </row>
    <row r="101" spans="1:13" x14ac:dyDescent="0.3">
      <c r="A101" t="s">
        <v>326</v>
      </c>
      <c r="B101" t="s">
        <v>325</v>
      </c>
      <c r="C101" t="s">
        <v>219</v>
      </c>
      <c r="D101">
        <v>30</v>
      </c>
      <c r="E101">
        <v>50</v>
      </c>
      <c r="F101">
        <v>15</v>
      </c>
      <c r="G101">
        <v>467.99999999999989</v>
      </c>
      <c r="H101">
        <v>476</v>
      </c>
      <c r="I101" s="3">
        <f>IFERROR((H101-VLOOKUP(B101,FO_CONHECIDA!$A:$B,2,FALSE))/VLOOKUP(B101,FO_CONHECIDA!$A:$B,2,FALSE),0)</f>
        <v>2.2776106574989307E-2</v>
      </c>
      <c r="J101">
        <v>196</v>
      </c>
      <c r="K101">
        <v>784</v>
      </c>
      <c r="M101">
        <v>737.54861807823181</v>
      </c>
    </row>
    <row r="102" spans="1:13" x14ac:dyDescent="0.3">
      <c r="A102" t="s">
        <v>200</v>
      </c>
      <c r="B102" t="s">
        <v>325</v>
      </c>
      <c r="C102" t="s">
        <v>219</v>
      </c>
      <c r="D102">
        <v>30</v>
      </c>
      <c r="E102">
        <v>50</v>
      </c>
      <c r="F102">
        <v>20</v>
      </c>
      <c r="G102">
        <v>465.4</v>
      </c>
      <c r="H102">
        <v>465.4</v>
      </c>
      <c r="I102" s="3">
        <f>IFERROR((H102-VLOOKUP(B102,FO_CONHECIDA!$A:$B,2,FALSE))/VLOOKUP(B102,FO_CONHECIDA!$A:$B,2,FALSE),0)</f>
        <v>0</v>
      </c>
      <c r="J102">
        <v>216</v>
      </c>
      <c r="K102">
        <v>897</v>
      </c>
      <c r="M102">
        <v>1811.6217255592351</v>
      </c>
    </row>
    <row r="103" spans="1:13" x14ac:dyDescent="0.3">
      <c r="A103" t="s">
        <v>327</v>
      </c>
      <c r="B103" t="s">
        <v>325</v>
      </c>
      <c r="C103" t="s">
        <v>219</v>
      </c>
      <c r="D103">
        <v>30</v>
      </c>
      <c r="E103">
        <v>50</v>
      </c>
      <c r="F103">
        <v>25</v>
      </c>
      <c r="G103">
        <v>464.77499999999998</v>
      </c>
      <c r="H103">
        <v>465.4</v>
      </c>
      <c r="I103" s="3">
        <f>IFERROR((H103-VLOOKUP(B103,FO_CONHECIDA!$A:$B,2,FALSE))/VLOOKUP(B103,FO_CONHECIDA!$A:$B,2,FALSE),0)</f>
        <v>0</v>
      </c>
      <c r="J103">
        <v>216</v>
      </c>
      <c r="K103">
        <v>884</v>
      </c>
      <c r="M103">
        <v>1814.722222089767</v>
      </c>
    </row>
    <row r="104" spans="1:13" x14ac:dyDescent="0.3">
      <c r="A104" t="s">
        <v>328</v>
      </c>
      <c r="B104" t="s">
        <v>325</v>
      </c>
      <c r="C104" t="s">
        <v>219</v>
      </c>
      <c r="D104">
        <v>30</v>
      </c>
      <c r="E104">
        <v>50</v>
      </c>
      <c r="F104">
        <v>30</v>
      </c>
      <c r="G104">
        <v>468.3</v>
      </c>
      <c r="H104">
        <v>465.4</v>
      </c>
      <c r="I104" s="3">
        <f>IFERROR((H104-VLOOKUP(B104,FO_CONHECIDA!$A:$B,2,FALSE))/VLOOKUP(B104,FO_CONHECIDA!$A:$B,2,FALSE),0)</f>
        <v>0</v>
      </c>
      <c r="J104">
        <v>216</v>
      </c>
      <c r="K104">
        <v>882</v>
      </c>
      <c r="M104">
        <v>1804.99805355072</v>
      </c>
    </row>
    <row r="105" spans="1:13" x14ac:dyDescent="0.3">
      <c r="A105" t="s">
        <v>329</v>
      </c>
      <c r="B105" t="s">
        <v>325</v>
      </c>
      <c r="C105" t="s">
        <v>219</v>
      </c>
      <c r="D105">
        <v>30</v>
      </c>
      <c r="E105">
        <v>50</v>
      </c>
      <c r="F105">
        <v>40</v>
      </c>
      <c r="G105">
        <v>468.3</v>
      </c>
      <c r="H105">
        <v>465.4</v>
      </c>
      <c r="I105" s="3">
        <f>IFERROR((H105-VLOOKUP(B105,FO_CONHECIDA!$A:$B,2,FALSE))/VLOOKUP(B105,FO_CONHECIDA!$A:$B,2,FALSE),0)</f>
        <v>0</v>
      </c>
      <c r="J105">
        <v>216</v>
      </c>
      <c r="K105">
        <v>878</v>
      </c>
      <c r="M105">
        <v>1808.5135583877559</v>
      </c>
    </row>
    <row r="106" spans="1:13" x14ac:dyDescent="0.3">
      <c r="A106" t="s">
        <v>329</v>
      </c>
      <c r="B106" t="s">
        <v>325</v>
      </c>
      <c r="C106" t="s">
        <v>219</v>
      </c>
      <c r="D106">
        <v>30</v>
      </c>
      <c r="E106">
        <v>50</v>
      </c>
      <c r="F106">
        <v>50</v>
      </c>
      <c r="G106">
        <v>468.3</v>
      </c>
      <c r="H106">
        <v>465.4</v>
      </c>
      <c r="I106" s="3">
        <f>IFERROR((H106-VLOOKUP(B106,FO_CONHECIDA!$A:$B,2,FALSE))/VLOOKUP(B106,FO_CONHECIDA!$A:$B,2,FALSE),0)</f>
        <v>0</v>
      </c>
      <c r="J106">
        <v>216</v>
      </c>
      <c r="K106">
        <v>878</v>
      </c>
      <c r="M106">
        <v>1808.5135583877559</v>
      </c>
    </row>
  </sheetData>
  <mergeCells count="1">
    <mergeCell ref="R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7C55-D917-4E6C-A196-538DB46752AA}">
  <dimension ref="B1:R81"/>
  <sheetViews>
    <sheetView showGridLines="0" topLeftCell="A8" zoomScale="130" zoomScaleNormal="130" workbookViewId="0">
      <selection activeCell="C15" sqref="C15:L15"/>
    </sheetView>
  </sheetViews>
  <sheetFormatPr defaultColWidth="8.6640625" defaultRowHeight="14.4" x14ac:dyDescent="0.3"/>
  <cols>
    <col min="1" max="1" width="2" style="21" customWidth="1"/>
    <col min="2" max="2" width="27" style="21" customWidth="1"/>
    <col min="3" max="6" width="12" style="21" customWidth="1"/>
    <col min="7" max="7" width="17.33203125" style="21" customWidth="1"/>
    <col min="8" max="8" width="14" style="21" customWidth="1"/>
    <col min="9" max="12" width="12" style="21" customWidth="1"/>
    <col min="13" max="13" width="2" style="21" customWidth="1"/>
    <col min="14" max="14" width="14" style="21" customWidth="1"/>
    <col min="15" max="18" width="12" style="21" customWidth="1"/>
    <col min="19" max="19" width="2" style="21" customWidth="1"/>
    <col min="20" max="16384" width="8.6640625" style="21"/>
  </cols>
  <sheetData>
    <row r="1" spans="2:18" ht="25.5" customHeight="1" x14ac:dyDescent="0.3">
      <c r="B1" s="98" t="s">
        <v>346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2:18" ht="15" customHeight="1" x14ac:dyDescent="0.3">
      <c r="B2" s="99" t="s">
        <v>347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4" spans="2:18" ht="18" customHeight="1" x14ac:dyDescent="0.3">
      <c r="B4" s="94" t="s">
        <v>348</v>
      </c>
      <c r="C4" s="94"/>
      <c r="D4" s="94"/>
      <c r="E4" s="94"/>
      <c r="F4" s="94"/>
      <c r="G4" s="94"/>
      <c r="H4" s="94"/>
      <c r="I4" s="94"/>
      <c r="J4" s="94"/>
      <c r="K4" s="94"/>
      <c r="L4" s="94"/>
    </row>
    <row r="5" spans="2:18" ht="15" customHeight="1" x14ac:dyDescent="0.3">
      <c r="B5" s="22" t="s">
        <v>349</v>
      </c>
      <c r="C5" s="22" t="s">
        <v>350</v>
      </c>
      <c r="D5" s="22" t="s">
        <v>351</v>
      </c>
      <c r="E5" s="22" t="s">
        <v>352</v>
      </c>
      <c r="F5" s="22" t="s">
        <v>353</v>
      </c>
      <c r="G5" s="22" t="s">
        <v>354</v>
      </c>
      <c r="I5" s="23" t="s">
        <v>355</v>
      </c>
      <c r="J5" s="23" t="s">
        <v>356</v>
      </c>
      <c r="K5" s="23" t="s">
        <v>357</v>
      </c>
      <c r="L5" s="23" t="s">
        <v>358</v>
      </c>
      <c r="N5" s="24"/>
    </row>
    <row r="6" spans="2:18" ht="15" customHeight="1" x14ac:dyDescent="0.3">
      <c r="B6" s="25" t="s">
        <v>359</v>
      </c>
      <c r="C6" s="26" t="s">
        <v>360</v>
      </c>
      <c r="D6" s="27">
        <v>0.89655172413793105</v>
      </c>
      <c r="E6" s="28">
        <v>97.137931034482804</v>
      </c>
      <c r="F6" s="28">
        <v>356.31034482758599</v>
      </c>
      <c r="G6" s="29">
        <v>2.64965517241379E-4</v>
      </c>
      <c r="H6" s="30"/>
      <c r="I6" s="26"/>
      <c r="J6" s="31">
        <v>-0.21422594142259399</v>
      </c>
      <c r="K6" s="32">
        <v>4.7652843962283302E-2</v>
      </c>
      <c r="L6" s="26"/>
    </row>
    <row r="7" spans="2:18" ht="15" customHeight="1" x14ac:dyDescent="0.3">
      <c r="B7" s="33" t="s">
        <v>361</v>
      </c>
      <c r="C7" s="34" t="s">
        <v>362</v>
      </c>
      <c r="D7" s="35">
        <v>1</v>
      </c>
      <c r="E7" s="36">
        <v>123.620689655172</v>
      </c>
      <c r="F7" s="36">
        <v>340.10344827586198</v>
      </c>
      <c r="G7" s="37">
        <v>0</v>
      </c>
      <c r="H7" s="30"/>
      <c r="I7" s="38" t="s">
        <v>363</v>
      </c>
      <c r="J7" s="38" t="s">
        <v>364</v>
      </c>
      <c r="K7" s="38" t="s">
        <v>364</v>
      </c>
      <c r="L7" s="38" t="s">
        <v>365</v>
      </c>
    </row>
    <row r="8" spans="2:18" ht="15" customHeight="1" x14ac:dyDescent="0.3">
      <c r="B8" s="39" t="s">
        <v>366</v>
      </c>
      <c r="C8" s="26" t="s">
        <v>367</v>
      </c>
      <c r="D8" s="27">
        <v>0.86206896551724099</v>
      </c>
      <c r="E8" s="28">
        <v>157.241379310345</v>
      </c>
      <c r="F8" s="28">
        <v>533.68965517241395</v>
      </c>
      <c r="G8" s="29">
        <v>3.6773571428571402E-3</v>
      </c>
      <c r="H8" s="30"/>
      <c r="I8" s="26"/>
      <c r="J8" s="32">
        <v>0.27196652719665299</v>
      </c>
      <c r="K8" s="32">
        <v>0.56919801277501803</v>
      </c>
      <c r="L8" s="26"/>
    </row>
    <row r="9" spans="2:18" ht="15" customHeight="1" x14ac:dyDescent="0.3">
      <c r="B9" s="40" t="s">
        <v>368</v>
      </c>
      <c r="C9" s="41" t="s">
        <v>362</v>
      </c>
      <c r="D9" s="42">
        <v>1</v>
      </c>
      <c r="E9" s="43">
        <v>187.37931034482801</v>
      </c>
      <c r="F9" s="43">
        <v>535.86206896551698</v>
      </c>
      <c r="G9" s="44">
        <v>4.22431341581118E-5</v>
      </c>
      <c r="H9" s="30"/>
      <c r="I9" s="41"/>
      <c r="J9" s="45">
        <v>0.51576011157601098</v>
      </c>
      <c r="K9" s="45">
        <v>0.57558552164655796</v>
      </c>
      <c r="L9" s="41"/>
    </row>
    <row r="11" spans="2:18" ht="18" customHeight="1" x14ac:dyDescent="0.3">
      <c r="B11" s="100" t="s">
        <v>369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</row>
    <row r="12" spans="2:18" ht="13.5" customHeight="1" x14ac:dyDescent="0.3">
      <c r="B12" s="22" t="s">
        <v>370</v>
      </c>
      <c r="C12" s="95" t="s">
        <v>371</v>
      </c>
      <c r="D12" s="95"/>
      <c r="E12" s="95"/>
      <c r="F12" s="95"/>
      <c r="G12" s="95"/>
      <c r="H12" s="95"/>
      <c r="I12" s="95"/>
      <c r="J12" s="95"/>
      <c r="K12" s="95"/>
      <c r="L12" s="95"/>
    </row>
    <row r="13" spans="2:18" ht="24" customHeight="1" x14ac:dyDescent="0.3">
      <c r="B13" s="46" t="s">
        <v>372</v>
      </c>
      <c r="C13" s="97" t="s">
        <v>373</v>
      </c>
      <c r="D13" s="97"/>
      <c r="E13" s="97"/>
      <c r="F13" s="97"/>
      <c r="G13" s="97"/>
      <c r="H13" s="97"/>
      <c r="I13" s="97"/>
      <c r="J13" s="97"/>
      <c r="K13" s="97"/>
      <c r="L13" s="97"/>
    </row>
    <row r="14" spans="2:18" ht="24" customHeight="1" x14ac:dyDescent="0.3">
      <c r="B14" s="47" t="s">
        <v>374</v>
      </c>
      <c r="C14" s="96" t="s">
        <v>375</v>
      </c>
      <c r="D14" s="96"/>
      <c r="E14" s="96"/>
      <c r="F14" s="96"/>
      <c r="G14" s="96"/>
      <c r="H14" s="96"/>
      <c r="I14" s="96"/>
      <c r="J14" s="96"/>
      <c r="K14" s="96"/>
      <c r="L14" s="96"/>
    </row>
    <row r="15" spans="2:18" ht="24" customHeight="1" x14ac:dyDescent="0.3">
      <c r="B15" s="46" t="s">
        <v>376</v>
      </c>
      <c r="C15" s="97" t="s">
        <v>377</v>
      </c>
      <c r="D15" s="97"/>
      <c r="E15" s="97"/>
      <c r="F15" s="97"/>
      <c r="G15" s="97"/>
      <c r="H15" s="97"/>
      <c r="I15" s="97"/>
      <c r="J15" s="97"/>
      <c r="K15" s="97"/>
      <c r="L15" s="97"/>
    </row>
    <row r="16" spans="2:18" ht="24" customHeight="1" x14ac:dyDescent="0.3">
      <c r="B16" s="47" t="s">
        <v>378</v>
      </c>
      <c r="C16" s="96" t="s">
        <v>379</v>
      </c>
      <c r="D16" s="96"/>
      <c r="E16" s="96"/>
      <c r="F16" s="96"/>
      <c r="G16" s="96"/>
      <c r="H16" s="96"/>
      <c r="I16" s="96"/>
      <c r="J16" s="96"/>
      <c r="K16" s="96"/>
      <c r="L16" s="96"/>
    </row>
    <row r="18" spans="2:17" ht="18" customHeight="1" x14ac:dyDescent="0.3">
      <c r="B18" s="94" t="s">
        <v>380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</row>
    <row r="19" spans="2:17" ht="15" customHeight="1" x14ac:dyDescent="0.3">
      <c r="B19" s="22" t="s">
        <v>381</v>
      </c>
      <c r="C19" s="22" t="s">
        <v>382</v>
      </c>
      <c r="D19" s="48" t="s">
        <v>359</v>
      </c>
      <c r="E19" s="49" t="s">
        <v>361</v>
      </c>
      <c r="F19" s="50" t="s">
        <v>366</v>
      </c>
      <c r="G19" s="51" t="s">
        <v>368</v>
      </c>
      <c r="H19" s="23" t="s">
        <v>383</v>
      </c>
    </row>
    <row r="20" spans="2:17" ht="15" customHeight="1" x14ac:dyDescent="0.3">
      <c r="B20" s="52" t="s">
        <v>384</v>
      </c>
      <c r="C20" s="53" t="s">
        <v>385</v>
      </c>
      <c r="D20" s="54">
        <v>1</v>
      </c>
      <c r="E20" s="55">
        <v>1</v>
      </c>
      <c r="F20" s="54">
        <v>0.88888888888888895</v>
      </c>
      <c r="G20" s="54">
        <v>1</v>
      </c>
      <c r="H20" s="48" t="s">
        <v>386</v>
      </c>
    </row>
    <row r="21" spans="2:17" ht="15" customHeight="1" x14ac:dyDescent="0.3">
      <c r="B21" s="56"/>
      <c r="C21" s="57" t="s">
        <v>387</v>
      </c>
      <c r="D21" s="58">
        <v>134.222222222222</v>
      </c>
      <c r="E21" s="59">
        <v>160.777777777778</v>
      </c>
      <c r="F21" s="58">
        <v>196.666666666667</v>
      </c>
      <c r="G21" s="58">
        <v>305</v>
      </c>
      <c r="H21" s="48" t="s">
        <v>386</v>
      </c>
    </row>
    <row r="22" spans="2:17" ht="15" customHeight="1" x14ac:dyDescent="0.3">
      <c r="B22" s="56"/>
      <c r="C22" s="53" t="s">
        <v>388</v>
      </c>
      <c r="D22" s="60">
        <v>327.555555555556</v>
      </c>
      <c r="E22" s="59">
        <v>324.88888888888903</v>
      </c>
      <c r="F22" s="60">
        <v>509.222222222222</v>
      </c>
      <c r="G22" s="60">
        <v>640.11111111111097</v>
      </c>
      <c r="H22" s="49" t="s">
        <v>389</v>
      </c>
    </row>
    <row r="23" spans="2:17" ht="3" customHeight="1" x14ac:dyDescent="0.3">
      <c r="B23" s="61"/>
      <c r="C23" s="61"/>
      <c r="D23" s="61"/>
      <c r="E23" s="61"/>
      <c r="F23" s="61"/>
      <c r="G23" s="61"/>
      <c r="H23" s="61"/>
    </row>
    <row r="24" spans="2:17" ht="15" customHeight="1" x14ac:dyDescent="0.3">
      <c r="B24" s="62" t="s">
        <v>390</v>
      </c>
      <c r="C24" s="63" t="s">
        <v>385</v>
      </c>
      <c r="D24" s="64">
        <v>0.83333333333333304</v>
      </c>
      <c r="E24" s="55">
        <v>1</v>
      </c>
      <c r="F24" s="64">
        <v>0.83333333333333304</v>
      </c>
      <c r="G24" s="64">
        <v>1</v>
      </c>
      <c r="H24" s="49" t="s">
        <v>389</v>
      </c>
    </row>
    <row r="25" spans="2:17" ht="15" customHeight="1" x14ac:dyDescent="0.3">
      <c r="B25" s="65"/>
      <c r="C25" s="57" t="s">
        <v>387</v>
      </c>
      <c r="D25" s="58">
        <v>111.333333333333</v>
      </c>
      <c r="E25" s="59">
        <v>156.416666666667</v>
      </c>
      <c r="F25" s="58">
        <v>177.166666666667</v>
      </c>
      <c r="G25" s="58">
        <v>191.083333333333</v>
      </c>
      <c r="H25" s="48" t="s">
        <v>386</v>
      </c>
    </row>
    <row r="26" spans="2:17" ht="15" customHeight="1" x14ac:dyDescent="0.3">
      <c r="B26" s="65"/>
      <c r="C26" s="63" t="s">
        <v>388</v>
      </c>
      <c r="D26" s="66">
        <v>499.5</v>
      </c>
      <c r="E26" s="59">
        <v>517.16666666666697</v>
      </c>
      <c r="F26" s="66">
        <v>717.58333333333303</v>
      </c>
      <c r="G26" s="66">
        <v>719.58333333333303</v>
      </c>
      <c r="H26" s="48" t="s">
        <v>386</v>
      </c>
    </row>
    <row r="27" spans="2:17" ht="3" customHeight="1" x14ac:dyDescent="0.3">
      <c r="B27" s="61"/>
      <c r="C27" s="61"/>
      <c r="D27" s="61"/>
      <c r="E27" s="61"/>
      <c r="F27" s="61"/>
      <c r="G27" s="61"/>
      <c r="H27" s="61"/>
    </row>
    <row r="28" spans="2:17" ht="15" customHeight="1" x14ac:dyDescent="0.3">
      <c r="B28" s="67" t="s">
        <v>391</v>
      </c>
      <c r="C28" s="68" t="s">
        <v>385</v>
      </c>
      <c r="D28" s="69">
        <v>0.875</v>
      </c>
      <c r="E28" s="55">
        <v>1</v>
      </c>
      <c r="F28" s="69">
        <v>0.875</v>
      </c>
      <c r="G28" s="69">
        <v>1</v>
      </c>
      <c r="H28" s="49" t="s">
        <v>389</v>
      </c>
    </row>
    <row r="29" spans="2:17" ht="15" customHeight="1" x14ac:dyDescent="0.3">
      <c r="B29" s="70"/>
      <c r="C29" s="57" t="s">
        <v>387</v>
      </c>
      <c r="D29" s="58">
        <v>34.125</v>
      </c>
      <c r="E29" s="59">
        <v>32.625</v>
      </c>
      <c r="F29" s="58">
        <v>83</v>
      </c>
      <c r="G29" s="58">
        <v>49.5</v>
      </c>
      <c r="H29" s="49" t="s">
        <v>389</v>
      </c>
    </row>
    <row r="30" spans="2:17" ht="15" customHeight="1" x14ac:dyDescent="0.3">
      <c r="B30" s="70"/>
      <c r="C30" s="68" t="s">
        <v>388</v>
      </c>
      <c r="D30" s="71">
        <v>173.875</v>
      </c>
      <c r="E30" s="59">
        <v>91.625</v>
      </c>
      <c r="F30" s="71">
        <v>285.375</v>
      </c>
      <c r="G30" s="71">
        <v>143</v>
      </c>
      <c r="H30" s="49" t="s">
        <v>389</v>
      </c>
    </row>
    <row r="31" spans="2:17" ht="3" customHeight="1" x14ac:dyDescent="0.3">
      <c r="B31" s="61"/>
      <c r="C31" s="61"/>
      <c r="D31" s="61"/>
      <c r="E31" s="61"/>
      <c r="F31" s="61"/>
      <c r="G31" s="61"/>
      <c r="H31" s="61"/>
    </row>
    <row r="32" spans="2:17" ht="15" customHeight="1" x14ac:dyDescent="0.3">
      <c r="B32" s="72" t="s">
        <v>392</v>
      </c>
      <c r="C32" s="73" t="s">
        <v>385</v>
      </c>
      <c r="D32" s="74">
        <v>0.89655172413793105</v>
      </c>
      <c r="E32" s="55">
        <v>1</v>
      </c>
      <c r="F32" s="74">
        <v>0.86206896551724099</v>
      </c>
      <c r="G32" s="74">
        <v>1</v>
      </c>
      <c r="H32" s="49" t="s">
        <v>389</v>
      </c>
    </row>
    <row r="33" spans="2:12" ht="15" customHeight="1" x14ac:dyDescent="0.3">
      <c r="B33" s="75"/>
      <c r="C33" s="57" t="s">
        <v>387</v>
      </c>
      <c r="D33" s="58">
        <v>97.137931034482804</v>
      </c>
      <c r="E33" s="59">
        <v>123.620689655172</v>
      </c>
      <c r="F33" s="58">
        <v>157.241379310345</v>
      </c>
      <c r="G33" s="58">
        <v>187.37931034482801</v>
      </c>
      <c r="H33" s="48" t="s">
        <v>386</v>
      </c>
    </row>
    <row r="34" spans="2:12" ht="15" customHeight="1" x14ac:dyDescent="0.3">
      <c r="B34" s="75"/>
      <c r="C34" s="73" t="s">
        <v>388</v>
      </c>
      <c r="D34" s="76">
        <v>356.31034482758599</v>
      </c>
      <c r="E34" s="59">
        <v>340.10344827586198</v>
      </c>
      <c r="F34" s="76">
        <v>533.68965517241395</v>
      </c>
      <c r="G34" s="76">
        <v>535.86206896551698</v>
      </c>
      <c r="H34" s="49" t="s">
        <v>389</v>
      </c>
    </row>
    <row r="35" spans="2:12" ht="3" customHeight="1" x14ac:dyDescent="0.3">
      <c r="B35" s="61"/>
      <c r="C35" s="61"/>
      <c r="D35" s="61"/>
      <c r="E35" s="61"/>
      <c r="F35" s="61"/>
      <c r="G35" s="61"/>
      <c r="H35" s="61"/>
    </row>
    <row r="37" spans="2:12" ht="18" customHeight="1" x14ac:dyDescent="0.3">
      <c r="B37" s="94" t="s">
        <v>393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</row>
    <row r="38" spans="2:12" ht="15" customHeight="1" x14ac:dyDescent="0.3">
      <c r="B38" s="22" t="s">
        <v>381</v>
      </c>
      <c r="C38" s="22" t="s">
        <v>382</v>
      </c>
      <c r="D38" s="48" t="s">
        <v>386</v>
      </c>
      <c r="E38" s="50" t="s">
        <v>394</v>
      </c>
      <c r="F38" s="23" t="s">
        <v>395</v>
      </c>
      <c r="G38" s="48" t="s">
        <v>389</v>
      </c>
      <c r="H38" s="51" t="s">
        <v>396</v>
      </c>
      <c r="I38" s="23" t="s">
        <v>397</v>
      </c>
    </row>
    <row r="39" spans="2:12" ht="15" customHeight="1" x14ac:dyDescent="0.3">
      <c r="B39" s="52" t="s">
        <v>384</v>
      </c>
      <c r="C39" s="53" t="s">
        <v>387</v>
      </c>
      <c r="D39" s="60">
        <v>134.222222222222</v>
      </c>
      <c r="E39" s="60">
        <v>196.666666666667</v>
      </c>
      <c r="F39" s="55">
        <v>0.31751412429378501</v>
      </c>
      <c r="G39" s="60">
        <v>160.777777777778</v>
      </c>
      <c r="H39" s="60">
        <v>305</v>
      </c>
      <c r="I39" s="55">
        <v>0.47285974499089301</v>
      </c>
    </row>
    <row r="40" spans="2:12" ht="15" customHeight="1" x14ac:dyDescent="0.3">
      <c r="B40" s="53"/>
      <c r="C40" s="57" t="s">
        <v>388</v>
      </c>
      <c r="D40" s="58">
        <v>327.555555555556</v>
      </c>
      <c r="E40" s="58">
        <v>509.222222222222</v>
      </c>
      <c r="F40" s="55">
        <v>0.35675321841588498</v>
      </c>
      <c r="G40" s="58">
        <v>324.88888888888903</v>
      </c>
      <c r="H40" s="58">
        <v>640.11111111111097</v>
      </c>
      <c r="I40" s="55">
        <v>0.49244922756465898</v>
      </c>
    </row>
    <row r="41" spans="2:12" ht="3" customHeight="1" x14ac:dyDescent="0.3">
      <c r="B41" s="61"/>
      <c r="C41" s="61"/>
      <c r="D41" s="61"/>
      <c r="E41" s="61"/>
      <c r="F41" s="61"/>
      <c r="G41" s="61"/>
      <c r="H41" s="61"/>
      <c r="I41" s="61"/>
    </row>
    <row r="42" spans="2:12" ht="15" customHeight="1" x14ac:dyDescent="0.3">
      <c r="B42" s="62" t="s">
        <v>390</v>
      </c>
      <c r="C42" s="63" t="s">
        <v>387</v>
      </c>
      <c r="D42" s="66">
        <v>111.333333333333</v>
      </c>
      <c r="E42" s="66">
        <v>177.166666666667</v>
      </c>
      <c r="F42" s="55">
        <v>0.37158984007525903</v>
      </c>
      <c r="G42" s="66">
        <v>156.416666666667</v>
      </c>
      <c r="H42" s="66">
        <v>191.083333333333</v>
      </c>
      <c r="I42" s="77">
        <v>0.18142171827300499</v>
      </c>
    </row>
    <row r="43" spans="2:12" ht="15" customHeight="1" x14ac:dyDescent="0.3">
      <c r="B43" s="63"/>
      <c r="C43" s="57" t="s">
        <v>388</v>
      </c>
      <c r="D43" s="58">
        <v>499.5</v>
      </c>
      <c r="E43" s="58">
        <v>717.58333333333303</v>
      </c>
      <c r="F43" s="55">
        <v>0.30391359888514702</v>
      </c>
      <c r="G43" s="58">
        <v>517.16666666666697</v>
      </c>
      <c r="H43" s="58">
        <v>719.58333333333303</v>
      </c>
      <c r="I43" s="78">
        <v>0.28129704690214302</v>
      </c>
    </row>
    <row r="44" spans="2:12" ht="3" customHeight="1" x14ac:dyDescent="0.3">
      <c r="B44" s="61"/>
      <c r="C44" s="61"/>
      <c r="D44" s="61"/>
      <c r="E44" s="61"/>
      <c r="F44" s="61"/>
      <c r="G44" s="61"/>
      <c r="H44" s="61"/>
      <c r="I44" s="61"/>
    </row>
    <row r="45" spans="2:12" ht="15" customHeight="1" x14ac:dyDescent="0.3">
      <c r="B45" s="67" t="s">
        <v>391</v>
      </c>
      <c r="C45" s="68" t="s">
        <v>387</v>
      </c>
      <c r="D45" s="71">
        <v>34.125</v>
      </c>
      <c r="E45" s="71">
        <v>83</v>
      </c>
      <c r="F45" s="55">
        <v>0.58885542168674698</v>
      </c>
      <c r="G45" s="71">
        <v>32.625</v>
      </c>
      <c r="H45" s="71">
        <v>49.5</v>
      </c>
      <c r="I45" s="55">
        <v>0.34090909090909099</v>
      </c>
    </row>
    <row r="46" spans="2:12" ht="15" customHeight="1" x14ac:dyDescent="0.3">
      <c r="B46" s="68"/>
      <c r="C46" s="57" t="s">
        <v>388</v>
      </c>
      <c r="D46" s="58">
        <v>173.875</v>
      </c>
      <c r="E46" s="58">
        <v>285.375</v>
      </c>
      <c r="F46" s="55">
        <v>0.390713972842751</v>
      </c>
      <c r="G46" s="58">
        <v>91.625</v>
      </c>
      <c r="H46" s="58">
        <v>143</v>
      </c>
      <c r="I46" s="55">
        <v>0.35926573426573399</v>
      </c>
    </row>
    <row r="47" spans="2:12" ht="3" customHeight="1" x14ac:dyDescent="0.3">
      <c r="B47" s="61"/>
      <c r="C47" s="61"/>
      <c r="D47" s="61"/>
      <c r="E47" s="61"/>
      <c r="F47" s="61"/>
      <c r="G47" s="61"/>
      <c r="H47" s="61"/>
      <c r="I47" s="61"/>
    </row>
    <row r="48" spans="2:12" ht="15" customHeight="1" x14ac:dyDescent="0.3">
      <c r="B48" s="72" t="s">
        <v>392</v>
      </c>
      <c r="C48" s="73" t="s">
        <v>387</v>
      </c>
      <c r="D48" s="76">
        <v>97.137931034482804</v>
      </c>
      <c r="E48" s="76">
        <v>157.241379310345</v>
      </c>
      <c r="F48" s="55">
        <v>0.38223684210526299</v>
      </c>
      <c r="G48" s="76">
        <v>123.620689655172</v>
      </c>
      <c r="H48" s="76">
        <v>187.37931034482801</v>
      </c>
      <c r="I48" s="55">
        <v>0.34026499815973499</v>
      </c>
    </row>
    <row r="49" spans="2:11" ht="15" customHeight="1" x14ac:dyDescent="0.3">
      <c r="B49" s="73"/>
      <c r="C49" s="57" t="s">
        <v>388</v>
      </c>
      <c r="D49" s="58">
        <v>356.31034482758599</v>
      </c>
      <c r="E49" s="58">
        <v>533.68965517241395</v>
      </c>
      <c r="F49" s="55">
        <v>0.332364153259676</v>
      </c>
      <c r="G49" s="58">
        <v>340.10344827586198</v>
      </c>
      <c r="H49" s="58">
        <v>535.86206896551698</v>
      </c>
      <c r="I49" s="55">
        <v>0.36531531531531503</v>
      </c>
    </row>
    <row r="50" spans="2:11" ht="3" customHeight="1" x14ac:dyDescent="0.3">
      <c r="B50" s="61"/>
      <c r="C50" s="61"/>
      <c r="D50" s="61"/>
      <c r="E50" s="61"/>
      <c r="F50" s="61"/>
      <c r="G50" s="61"/>
      <c r="H50" s="61"/>
      <c r="I50" s="61"/>
    </row>
    <row r="52" spans="2:11" ht="18" customHeight="1" x14ac:dyDescent="0.3">
      <c r="B52" s="94" t="s">
        <v>398</v>
      </c>
      <c r="C52" s="94"/>
      <c r="D52" s="94"/>
      <c r="E52" s="94"/>
      <c r="F52" s="94"/>
      <c r="G52" s="94"/>
      <c r="H52" s="94"/>
    </row>
    <row r="53" spans="2:11" ht="13.5" customHeight="1" x14ac:dyDescent="0.3">
      <c r="B53" s="22" t="s">
        <v>381</v>
      </c>
      <c r="C53" s="48" t="s">
        <v>359</v>
      </c>
      <c r="D53" s="49" t="s">
        <v>361</v>
      </c>
      <c r="E53" s="50" t="s">
        <v>366</v>
      </c>
      <c r="F53" s="51" t="s">
        <v>368</v>
      </c>
    </row>
    <row r="54" spans="2:11" ht="13.5" customHeight="1" x14ac:dyDescent="0.3">
      <c r="B54" s="79" t="s">
        <v>384</v>
      </c>
      <c r="C54" s="80">
        <v>1</v>
      </c>
      <c r="D54" s="81">
        <v>1</v>
      </c>
      <c r="E54" s="80">
        <v>0.88888888888888895</v>
      </c>
      <c r="F54" s="80">
        <v>1</v>
      </c>
    </row>
    <row r="55" spans="2:11" ht="13.5" customHeight="1" x14ac:dyDescent="0.3">
      <c r="B55" s="57" t="s">
        <v>390</v>
      </c>
      <c r="C55" s="82">
        <v>0.83333333333333304</v>
      </c>
      <c r="D55" s="81">
        <v>1</v>
      </c>
      <c r="E55" s="82">
        <v>0.83333333333333304</v>
      </c>
      <c r="F55" s="82">
        <v>1</v>
      </c>
    </row>
    <row r="56" spans="2:11" ht="13.5" customHeight="1" x14ac:dyDescent="0.3">
      <c r="B56" s="79" t="s">
        <v>391</v>
      </c>
      <c r="C56" s="80">
        <v>0.875</v>
      </c>
      <c r="D56" s="81">
        <v>1</v>
      </c>
      <c r="E56" s="80">
        <v>0.875</v>
      </c>
      <c r="F56" s="80">
        <v>1</v>
      </c>
    </row>
    <row r="57" spans="2:11" ht="13.5" customHeight="1" x14ac:dyDescent="0.3">
      <c r="B57" s="57" t="s">
        <v>399</v>
      </c>
      <c r="C57" s="82">
        <v>0.89655172413793105</v>
      </c>
      <c r="D57" s="81">
        <v>1</v>
      </c>
      <c r="E57" s="82">
        <v>0.86206896551724099</v>
      </c>
      <c r="F57" s="82">
        <v>1</v>
      </c>
    </row>
    <row r="60" spans="2:11" ht="18" customHeight="1" x14ac:dyDescent="0.3">
      <c r="B60" s="94" t="s">
        <v>400</v>
      </c>
      <c r="C60" s="94"/>
      <c r="D60" s="94"/>
      <c r="E60" s="94"/>
      <c r="F60" s="94"/>
      <c r="G60" s="94"/>
      <c r="H60" s="94"/>
    </row>
    <row r="61" spans="2:11" ht="13.5" customHeight="1" x14ac:dyDescent="0.3">
      <c r="B61" s="22" t="s">
        <v>381</v>
      </c>
      <c r="C61" s="48" t="s">
        <v>359</v>
      </c>
      <c r="D61" s="49" t="s">
        <v>361</v>
      </c>
      <c r="E61" s="50" t="s">
        <v>366</v>
      </c>
      <c r="F61" s="51" t="s">
        <v>368</v>
      </c>
      <c r="G61" s="22" t="s">
        <v>381</v>
      </c>
      <c r="H61" s="48" t="s">
        <v>359</v>
      </c>
      <c r="I61" s="49" t="s">
        <v>361</v>
      </c>
      <c r="J61" s="50" t="s">
        <v>366</v>
      </c>
      <c r="K61" s="51" t="s">
        <v>368</v>
      </c>
    </row>
    <row r="62" spans="2:11" ht="13.5" customHeight="1" x14ac:dyDescent="0.3">
      <c r="B62" s="79" t="s">
        <v>384</v>
      </c>
      <c r="C62" s="83">
        <v>134.222222222222</v>
      </c>
      <c r="D62" s="59">
        <v>160.777777777778</v>
      </c>
      <c r="E62" s="83">
        <v>196.666666666667</v>
      </c>
      <c r="F62" s="83">
        <v>305</v>
      </c>
      <c r="G62" s="79" t="s">
        <v>384</v>
      </c>
      <c r="H62" s="83">
        <v>327.555555555556</v>
      </c>
      <c r="I62" s="59">
        <v>324.88888888888903</v>
      </c>
      <c r="J62" s="83">
        <v>509.222222222222</v>
      </c>
      <c r="K62" s="83">
        <v>640.11111111111097</v>
      </c>
    </row>
    <row r="63" spans="2:11" ht="13.5" customHeight="1" x14ac:dyDescent="0.3">
      <c r="B63" s="57" t="s">
        <v>390</v>
      </c>
      <c r="C63" s="58">
        <v>111.333333333333</v>
      </c>
      <c r="D63" s="59">
        <v>156.416666666667</v>
      </c>
      <c r="E63" s="58">
        <v>177.166666666667</v>
      </c>
      <c r="F63" s="58">
        <v>191.083333333333</v>
      </c>
      <c r="G63" s="57" t="s">
        <v>390</v>
      </c>
      <c r="H63" s="58">
        <v>499.5</v>
      </c>
      <c r="I63" s="59">
        <v>517.16666666666697</v>
      </c>
      <c r="J63" s="58">
        <v>717.58333333333303</v>
      </c>
      <c r="K63" s="58">
        <v>719.58333333333303</v>
      </c>
    </row>
    <row r="64" spans="2:11" ht="13.5" customHeight="1" x14ac:dyDescent="0.3">
      <c r="B64" s="79" t="s">
        <v>391</v>
      </c>
      <c r="C64" s="83">
        <v>34.125</v>
      </c>
      <c r="D64" s="59">
        <v>32.625</v>
      </c>
      <c r="E64" s="83">
        <v>83</v>
      </c>
      <c r="F64" s="83">
        <v>49.5</v>
      </c>
      <c r="G64" s="79" t="s">
        <v>391</v>
      </c>
      <c r="H64" s="83">
        <v>173.875</v>
      </c>
      <c r="I64" s="59">
        <v>91.625</v>
      </c>
      <c r="J64" s="83">
        <v>285.375</v>
      </c>
      <c r="K64" s="83">
        <v>143</v>
      </c>
    </row>
    <row r="65" spans="2:11" ht="13.5" customHeight="1" x14ac:dyDescent="0.3">
      <c r="B65" s="57" t="s">
        <v>399</v>
      </c>
      <c r="C65" s="58">
        <v>97.137931034482804</v>
      </c>
      <c r="D65" s="59">
        <v>123.620689655172</v>
      </c>
      <c r="E65" s="58">
        <v>157.241379310345</v>
      </c>
      <c r="F65" s="58">
        <v>187.37931034482801</v>
      </c>
      <c r="G65" s="57" t="s">
        <v>399</v>
      </c>
      <c r="H65" s="58">
        <v>356.31034482758599</v>
      </c>
      <c r="I65" s="59">
        <v>340.10344827586198</v>
      </c>
      <c r="J65" s="58">
        <v>533.68965517241395</v>
      </c>
      <c r="K65" s="58">
        <v>535.86206896551698</v>
      </c>
    </row>
    <row r="68" spans="2:11" ht="18" customHeight="1" x14ac:dyDescent="0.3">
      <c r="B68" s="94" t="s">
        <v>401</v>
      </c>
      <c r="C68" s="94"/>
      <c r="D68" s="94"/>
      <c r="E68" s="94"/>
      <c r="F68" s="94"/>
      <c r="G68" s="94"/>
      <c r="H68" s="94"/>
    </row>
    <row r="69" spans="2:11" ht="13.5" customHeight="1" x14ac:dyDescent="0.3">
      <c r="B69" s="22" t="s">
        <v>402</v>
      </c>
      <c r="C69" s="22" t="s">
        <v>381</v>
      </c>
      <c r="D69" s="48" t="s">
        <v>359</v>
      </c>
      <c r="E69" s="49" t="s">
        <v>361</v>
      </c>
      <c r="F69" s="50" t="s">
        <v>366</v>
      </c>
      <c r="G69" s="51" t="s">
        <v>368</v>
      </c>
    </row>
    <row r="70" spans="2:11" ht="13.5" customHeight="1" x14ac:dyDescent="0.3">
      <c r="B70" s="84" t="s">
        <v>325</v>
      </c>
      <c r="C70" s="85" t="s">
        <v>403</v>
      </c>
      <c r="D70" s="86" t="s">
        <v>404</v>
      </c>
      <c r="E70" s="86" t="s">
        <v>404</v>
      </c>
      <c r="F70" s="87">
        <v>1.3450000000000001E-3</v>
      </c>
      <c r="G70" s="86" t="s">
        <v>404</v>
      </c>
    </row>
    <row r="71" spans="2:11" ht="13.5" customHeight="1" x14ac:dyDescent="0.3">
      <c r="B71" s="88" t="s">
        <v>405</v>
      </c>
      <c r="C71" s="89" t="s">
        <v>403</v>
      </c>
      <c r="D71" s="87">
        <v>5.3E-3</v>
      </c>
      <c r="E71" s="86" t="s">
        <v>404</v>
      </c>
      <c r="F71" s="86" t="s">
        <v>404</v>
      </c>
      <c r="G71" s="86" t="s">
        <v>404</v>
      </c>
    </row>
    <row r="72" spans="2:11" ht="13.5" customHeight="1" x14ac:dyDescent="0.3">
      <c r="B72" s="84" t="s">
        <v>406</v>
      </c>
      <c r="C72" s="85" t="s">
        <v>403</v>
      </c>
      <c r="D72" s="87">
        <v>1.284E-3</v>
      </c>
      <c r="E72" s="86" t="s">
        <v>404</v>
      </c>
      <c r="F72" s="87">
        <v>1.284E-3</v>
      </c>
      <c r="G72" s="86" t="s">
        <v>404</v>
      </c>
    </row>
    <row r="73" spans="2:11" ht="13.5" customHeight="1" x14ac:dyDescent="0.3">
      <c r="B73" s="88" t="s">
        <v>407</v>
      </c>
      <c r="C73" s="89" t="s">
        <v>408</v>
      </c>
      <c r="D73" s="87">
        <v>1.1000000000000001E-3</v>
      </c>
      <c r="E73" s="86" t="s">
        <v>404</v>
      </c>
      <c r="F73" s="86" t="s">
        <v>404</v>
      </c>
      <c r="G73" s="86" t="s">
        <v>404</v>
      </c>
    </row>
    <row r="74" spans="2:11" ht="13.5" customHeight="1" x14ac:dyDescent="0.3">
      <c r="B74" s="84" t="s">
        <v>409</v>
      </c>
      <c r="C74" s="85" t="s">
        <v>408</v>
      </c>
      <c r="D74" s="86" t="s">
        <v>404</v>
      </c>
      <c r="E74" s="86" t="s">
        <v>404</v>
      </c>
      <c r="F74" s="87">
        <v>0.1</v>
      </c>
      <c r="G74" s="86" t="s">
        <v>404</v>
      </c>
    </row>
    <row r="77" spans="2:11" ht="15" customHeight="1" x14ac:dyDescent="0.3">
      <c r="B77" s="95" t="s">
        <v>410</v>
      </c>
      <c r="C77" s="95"/>
      <c r="D77" s="95"/>
      <c r="E77" s="95"/>
      <c r="F77" s="95"/>
    </row>
    <row r="78" spans="2:11" ht="13.5" customHeight="1" x14ac:dyDescent="0.3">
      <c r="B78" s="48" t="s">
        <v>386</v>
      </c>
      <c r="C78" s="93" t="s">
        <v>359</v>
      </c>
      <c r="D78" s="93"/>
      <c r="E78" s="93"/>
      <c r="F78" s="93"/>
    </row>
    <row r="79" spans="2:11" ht="13.5" customHeight="1" x14ac:dyDescent="0.3">
      <c r="B79" s="49" t="s">
        <v>389</v>
      </c>
      <c r="C79" s="93" t="s">
        <v>361</v>
      </c>
      <c r="D79" s="93"/>
      <c r="E79" s="93"/>
      <c r="F79" s="93"/>
    </row>
    <row r="80" spans="2:11" ht="13.5" customHeight="1" x14ac:dyDescent="0.3">
      <c r="B80" s="50" t="s">
        <v>394</v>
      </c>
      <c r="C80" s="93" t="s">
        <v>366</v>
      </c>
      <c r="D80" s="93"/>
      <c r="E80" s="93"/>
      <c r="F80" s="93"/>
    </row>
    <row r="81" spans="2:6" ht="13.5" customHeight="1" x14ac:dyDescent="0.3">
      <c r="B81" s="51" t="s">
        <v>396</v>
      </c>
      <c r="C81" s="93" t="s">
        <v>368</v>
      </c>
      <c r="D81" s="93"/>
      <c r="E81" s="93"/>
      <c r="F81" s="93"/>
    </row>
  </sheetData>
  <mergeCells count="19">
    <mergeCell ref="B52:H52"/>
    <mergeCell ref="B1:R1"/>
    <mergeCell ref="B2:R2"/>
    <mergeCell ref="B4:L4"/>
    <mergeCell ref="B11:L11"/>
    <mergeCell ref="C12:L12"/>
    <mergeCell ref="C13:L13"/>
    <mergeCell ref="C14:L14"/>
    <mergeCell ref="C15:L15"/>
    <mergeCell ref="C16:L16"/>
    <mergeCell ref="B18:Q18"/>
    <mergeCell ref="B37:L37"/>
    <mergeCell ref="C81:F81"/>
    <mergeCell ref="B60:H60"/>
    <mergeCell ref="B68:H68"/>
    <mergeCell ref="B77:F77"/>
    <mergeCell ref="C78:F78"/>
    <mergeCell ref="C79:F79"/>
    <mergeCell ref="C80:F8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A820-E01A-4B4F-BEC5-72896FA52F21}">
  <dimension ref="A1:J31"/>
  <sheetViews>
    <sheetView tabSelected="1" workbookViewId="0">
      <selection activeCell="D3" sqref="D3:D31"/>
    </sheetView>
  </sheetViews>
  <sheetFormatPr defaultRowHeight="14.4" x14ac:dyDescent="0.3"/>
  <sheetData>
    <row r="1" spans="1:10" x14ac:dyDescent="0.3">
      <c r="A1" t="s">
        <v>490</v>
      </c>
      <c r="B1">
        <v>25</v>
      </c>
      <c r="D1" s="110" t="s">
        <v>490</v>
      </c>
      <c r="E1" s="110">
        <v>50</v>
      </c>
      <c r="F1" s="110"/>
      <c r="G1" s="110"/>
    </row>
    <row r="2" spans="1:10" x14ac:dyDescent="0.3">
      <c r="A2" s="5" t="s">
        <v>206</v>
      </c>
      <c r="B2" t="s">
        <v>330</v>
      </c>
      <c r="D2" s="110" t="s">
        <v>412</v>
      </c>
      <c r="E2" s="110" t="s">
        <v>413</v>
      </c>
      <c r="F2" s="110" t="s">
        <v>414</v>
      </c>
      <c r="G2" s="110" t="s">
        <v>415</v>
      </c>
      <c r="J2" t="s">
        <v>491</v>
      </c>
    </row>
    <row r="3" spans="1:10" x14ac:dyDescent="0.3">
      <c r="A3" t="s">
        <v>218</v>
      </c>
      <c r="B3" s="15">
        <v>191.3</v>
      </c>
      <c r="D3" s="101" t="s">
        <v>416</v>
      </c>
      <c r="E3" s="102" t="s">
        <v>417</v>
      </c>
      <c r="F3" s="103">
        <v>362.4</v>
      </c>
      <c r="G3" s="103">
        <v>362.4</v>
      </c>
      <c r="J3" t="s">
        <v>449</v>
      </c>
    </row>
    <row r="4" spans="1:10" x14ac:dyDescent="0.3">
      <c r="A4" t="s">
        <v>234</v>
      </c>
      <c r="B4" s="15">
        <v>190.3</v>
      </c>
      <c r="D4" s="101" t="s">
        <v>418</v>
      </c>
      <c r="E4" s="102" t="s">
        <v>417</v>
      </c>
      <c r="F4" s="103">
        <v>362.4</v>
      </c>
      <c r="G4" s="103">
        <v>362.4</v>
      </c>
      <c r="J4" t="s">
        <v>452</v>
      </c>
    </row>
    <row r="5" spans="1:10" x14ac:dyDescent="0.3">
      <c r="A5" t="s">
        <v>241</v>
      </c>
      <c r="B5" s="15">
        <v>190.3</v>
      </c>
      <c r="D5" s="101" t="s">
        <v>419</v>
      </c>
      <c r="E5" s="102" t="s">
        <v>417</v>
      </c>
      <c r="F5" s="103">
        <v>361.4</v>
      </c>
      <c r="G5" s="103">
        <v>361.4</v>
      </c>
      <c r="J5" t="s">
        <v>453</v>
      </c>
    </row>
    <row r="6" spans="1:10" x14ac:dyDescent="0.3">
      <c r="A6" t="s">
        <v>248</v>
      </c>
      <c r="B6" s="15">
        <v>186.9</v>
      </c>
      <c r="D6" s="101" t="s">
        <v>420</v>
      </c>
      <c r="E6" s="102" t="s">
        <v>417</v>
      </c>
      <c r="F6" s="103">
        <v>362.4</v>
      </c>
      <c r="G6" s="103">
        <v>362.4</v>
      </c>
      <c r="J6" t="s">
        <v>454</v>
      </c>
    </row>
    <row r="7" spans="1:10" x14ac:dyDescent="0.3">
      <c r="A7" t="s">
        <v>255</v>
      </c>
      <c r="B7" s="15">
        <v>191.3</v>
      </c>
      <c r="D7" s="101" t="s">
        <v>421</v>
      </c>
      <c r="E7" s="102" t="s">
        <v>417</v>
      </c>
      <c r="F7" s="103">
        <v>362.4</v>
      </c>
      <c r="G7" s="103">
        <v>362.4</v>
      </c>
      <c r="J7" t="s">
        <v>455</v>
      </c>
    </row>
    <row r="8" spans="1:10" x14ac:dyDescent="0.3">
      <c r="A8" t="s">
        <v>262</v>
      </c>
      <c r="B8" s="15">
        <v>191.3</v>
      </c>
      <c r="D8" s="101" t="s">
        <v>422</v>
      </c>
      <c r="E8" s="102" t="s">
        <v>417</v>
      </c>
      <c r="F8" s="103">
        <v>1044</v>
      </c>
      <c r="G8" s="103">
        <v>1043.3</v>
      </c>
      <c r="J8" t="s">
        <v>456</v>
      </c>
    </row>
    <row r="9" spans="1:10" x14ac:dyDescent="0.3">
      <c r="A9" t="s">
        <v>269</v>
      </c>
      <c r="B9" s="15">
        <v>191.3</v>
      </c>
      <c r="D9" s="101" t="s">
        <v>423</v>
      </c>
      <c r="E9" s="102" t="s">
        <v>417</v>
      </c>
      <c r="F9" s="103">
        <v>909</v>
      </c>
      <c r="G9" s="103">
        <v>909</v>
      </c>
      <c r="J9" t="s">
        <v>457</v>
      </c>
    </row>
    <row r="10" spans="1:10" x14ac:dyDescent="0.3">
      <c r="A10" t="s">
        <v>276</v>
      </c>
      <c r="B10" s="18">
        <v>191.3</v>
      </c>
      <c r="D10" s="101" t="s">
        <v>424</v>
      </c>
      <c r="E10" s="102" t="s">
        <v>417</v>
      </c>
      <c r="F10" s="103">
        <v>772.9</v>
      </c>
      <c r="G10" s="103">
        <v>769.2</v>
      </c>
      <c r="J10" t="s">
        <v>458</v>
      </c>
    </row>
    <row r="11" spans="1:10" ht="15" thickBot="1" x14ac:dyDescent="0.35">
      <c r="A11" t="s">
        <v>283</v>
      </c>
      <c r="B11" s="18">
        <v>191.3</v>
      </c>
      <c r="D11" s="101" t="s">
        <v>425</v>
      </c>
      <c r="E11" s="102" t="s">
        <v>417</v>
      </c>
      <c r="F11" s="103">
        <v>629.4</v>
      </c>
      <c r="G11" s="103">
        <v>619.1</v>
      </c>
      <c r="J11" t="s">
        <v>459</v>
      </c>
    </row>
    <row r="12" spans="1:10" x14ac:dyDescent="0.3">
      <c r="A12" t="s">
        <v>290</v>
      </c>
      <c r="B12" s="19">
        <v>617.1</v>
      </c>
      <c r="D12" s="104" t="s">
        <v>426</v>
      </c>
      <c r="E12" s="105" t="s">
        <v>403</v>
      </c>
      <c r="F12" s="106">
        <v>903.7</v>
      </c>
      <c r="G12" s="106">
        <v>892.1</v>
      </c>
      <c r="J12" t="s">
        <v>460</v>
      </c>
    </row>
    <row r="13" spans="1:10" x14ac:dyDescent="0.3">
      <c r="A13" t="s">
        <v>297</v>
      </c>
      <c r="B13" s="18">
        <v>547.1</v>
      </c>
      <c r="D13" s="104" t="s">
        <v>427</v>
      </c>
      <c r="E13" s="105" t="s">
        <v>403</v>
      </c>
      <c r="F13" s="106">
        <v>793</v>
      </c>
      <c r="G13" s="106">
        <v>791.3</v>
      </c>
      <c r="J13" t="s">
        <v>461</v>
      </c>
    </row>
    <row r="14" spans="1:10" x14ac:dyDescent="0.3">
      <c r="A14" t="s">
        <v>304</v>
      </c>
      <c r="B14" s="18">
        <v>454.6</v>
      </c>
      <c r="D14" s="104" t="s">
        <v>428</v>
      </c>
      <c r="E14" s="105" t="s">
        <v>403</v>
      </c>
      <c r="F14" s="106">
        <v>711.1</v>
      </c>
      <c r="G14" s="106">
        <v>707.2</v>
      </c>
      <c r="J14" t="s">
        <v>462</v>
      </c>
    </row>
    <row r="15" spans="1:10" x14ac:dyDescent="0.3">
      <c r="A15" t="s">
        <v>311</v>
      </c>
      <c r="B15" s="18">
        <v>416.9</v>
      </c>
      <c r="D15" s="104" t="s">
        <v>429</v>
      </c>
      <c r="E15" s="105" t="s">
        <v>403</v>
      </c>
      <c r="F15" s="106">
        <v>622.20000000000005</v>
      </c>
      <c r="G15" s="106">
        <v>594.70000000000005</v>
      </c>
      <c r="J15" t="s">
        <v>463</v>
      </c>
    </row>
    <row r="16" spans="1:10" x14ac:dyDescent="0.3">
      <c r="A16" t="s">
        <v>318</v>
      </c>
      <c r="B16" s="18">
        <v>530.5</v>
      </c>
      <c r="D16" s="104" t="s">
        <v>430</v>
      </c>
      <c r="E16" s="105" t="s">
        <v>403</v>
      </c>
      <c r="F16" s="106">
        <v>790.4</v>
      </c>
      <c r="G16" s="106">
        <v>775.3</v>
      </c>
      <c r="J16" t="s">
        <v>464</v>
      </c>
    </row>
    <row r="17" spans="1:10" x14ac:dyDescent="0.3">
      <c r="A17" t="s">
        <v>325</v>
      </c>
      <c r="B17" s="18">
        <v>465.4</v>
      </c>
      <c r="D17" s="104" t="s">
        <v>431</v>
      </c>
      <c r="E17" s="105" t="s">
        <v>403</v>
      </c>
      <c r="F17" s="106">
        <v>697</v>
      </c>
      <c r="G17" s="106">
        <v>695.1</v>
      </c>
      <c r="J17" t="s">
        <v>465</v>
      </c>
    </row>
    <row r="18" spans="1:10" x14ac:dyDescent="0.3">
      <c r="A18" s="16" t="s">
        <v>339</v>
      </c>
      <c r="B18" s="18">
        <v>424.3</v>
      </c>
      <c r="D18" s="104" t="s">
        <v>432</v>
      </c>
      <c r="E18" s="105" t="s">
        <v>403</v>
      </c>
      <c r="F18" s="106">
        <v>714.4</v>
      </c>
      <c r="G18" s="106">
        <v>696.3</v>
      </c>
      <c r="J18" t="s">
        <v>467</v>
      </c>
    </row>
    <row r="19" spans="1:10" x14ac:dyDescent="0.3">
      <c r="A19" s="16" t="s">
        <v>340</v>
      </c>
      <c r="B19" s="18">
        <v>397.3</v>
      </c>
      <c r="D19" s="104" t="s">
        <v>433</v>
      </c>
      <c r="E19" s="105" t="s">
        <v>403</v>
      </c>
      <c r="F19" s="106">
        <v>636.9</v>
      </c>
      <c r="G19" s="106">
        <v>614.79999999999995</v>
      </c>
      <c r="J19" t="s">
        <v>469</v>
      </c>
    </row>
    <row r="20" spans="1:10" x14ac:dyDescent="0.3">
      <c r="A20" s="16" t="s">
        <v>341</v>
      </c>
      <c r="B20" s="18">
        <v>441.3</v>
      </c>
      <c r="D20" s="104" t="s">
        <v>434</v>
      </c>
      <c r="E20" s="105" t="s">
        <v>403</v>
      </c>
      <c r="F20" s="106">
        <v>990.1</v>
      </c>
      <c r="G20" s="106">
        <v>850</v>
      </c>
      <c r="J20" t="s">
        <v>471</v>
      </c>
    </row>
    <row r="21" spans="1:10" x14ac:dyDescent="0.3">
      <c r="A21" s="16" t="s">
        <v>342</v>
      </c>
      <c r="B21" s="18">
        <v>444.1</v>
      </c>
      <c r="D21" s="104" t="s">
        <v>435</v>
      </c>
      <c r="E21" s="105" t="s">
        <v>403</v>
      </c>
      <c r="F21" s="106">
        <v>840.1</v>
      </c>
      <c r="G21" s="106">
        <v>721.8</v>
      </c>
      <c r="J21" t="s">
        <v>472</v>
      </c>
    </row>
    <row r="22" spans="1:10" x14ac:dyDescent="0.3">
      <c r="A22" s="16" t="s">
        <v>343</v>
      </c>
      <c r="B22" s="18">
        <v>428.8</v>
      </c>
      <c r="D22" s="104" t="s">
        <v>436</v>
      </c>
      <c r="E22" s="105" t="s">
        <v>403</v>
      </c>
      <c r="F22" s="106">
        <v>737</v>
      </c>
      <c r="G22" s="106">
        <v>645.20000000000005</v>
      </c>
      <c r="J22" t="s">
        <v>473</v>
      </c>
    </row>
    <row r="23" spans="1:10" ht="15" thickBot="1" x14ac:dyDescent="0.35">
      <c r="A23" s="17" t="s">
        <v>344</v>
      </c>
      <c r="B23" s="20">
        <v>393</v>
      </c>
      <c r="D23" s="104" t="s">
        <v>437</v>
      </c>
      <c r="E23" s="105" t="s">
        <v>403</v>
      </c>
      <c r="F23" s="106">
        <v>545.79999999999995</v>
      </c>
      <c r="G23" s="106">
        <v>545.79999999999995</v>
      </c>
      <c r="J23" t="s">
        <v>475</v>
      </c>
    </row>
    <row r="24" spans="1:10" x14ac:dyDescent="0.3">
      <c r="A24" t="s">
        <v>331</v>
      </c>
      <c r="B24" s="18">
        <v>461.1</v>
      </c>
      <c r="D24" s="107" t="s">
        <v>438</v>
      </c>
      <c r="E24" s="108" t="s">
        <v>408</v>
      </c>
      <c r="F24" s="109">
        <v>885.6</v>
      </c>
      <c r="G24" s="109">
        <v>761.5</v>
      </c>
      <c r="J24" t="s">
        <v>476</v>
      </c>
    </row>
    <row r="25" spans="1:10" x14ac:dyDescent="0.3">
      <c r="A25" t="s">
        <v>332</v>
      </c>
      <c r="B25" s="18">
        <v>351.8</v>
      </c>
      <c r="D25" s="107" t="s">
        <v>439</v>
      </c>
      <c r="E25" s="108" t="s">
        <v>408</v>
      </c>
      <c r="F25" s="109">
        <v>741.4</v>
      </c>
      <c r="G25" s="109">
        <v>664.4</v>
      </c>
      <c r="J25" t="s">
        <v>477</v>
      </c>
    </row>
    <row r="26" spans="1:10" x14ac:dyDescent="0.3">
      <c r="A26" t="s">
        <v>333</v>
      </c>
      <c r="B26" s="18">
        <v>332.8</v>
      </c>
      <c r="D26" s="107" t="s">
        <v>440</v>
      </c>
      <c r="E26" s="108" t="s">
        <v>408</v>
      </c>
      <c r="F26" s="109">
        <v>642.70000000000005</v>
      </c>
      <c r="G26" s="109">
        <v>603.5</v>
      </c>
      <c r="J26" t="s">
        <v>479</v>
      </c>
    </row>
    <row r="27" spans="1:10" x14ac:dyDescent="0.3">
      <c r="A27" t="s">
        <v>334</v>
      </c>
      <c r="B27" s="18">
        <v>306.60000000000002</v>
      </c>
      <c r="D27" s="107" t="s">
        <v>441</v>
      </c>
      <c r="E27" s="108" t="s">
        <v>408</v>
      </c>
      <c r="F27" s="109">
        <v>598.1</v>
      </c>
      <c r="G27" s="109">
        <v>541.1</v>
      </c>
      <c r="J27" t="s">
        <v>481</v>
      </c>
    </row>
    <row r="28" spans="1:10" x14ac:dyDescent="0.3">
      <c r="A28" t="s">
        <v>335</v>
      </c>
      <c r="B28" s="18">
        <v>411.3</v>
      </c>
      <c r="D28" s="107" t="s">
        <v>442</v>
      </c>
      <c r="E28" s="108" t="s">
        <v>408</v>
      </c>
      <c r="F28" s="109">
        <v>1223.2</v>
      </c>
      <c r="G28" s="109">
        <v>1164.4000000000001</v>
      </c>
      <c r="J28" t="s">
        <v>483</v>
      </c>
    </row>
    <row r="29" spans="1:10" x14ac:dyDescent="0.3">
      <c r="A29" t="s">
        <v>336</v>
      </c>
      <c r="B29" s="18">
        <v>345.5</v>
      </c>
      <c r="D29" s="107" t="s">
        <v>443</v>
      </c>
      <c r="E29" s="108" t="s">
        <v>408</v>
      </c>
      <c r="F29" s="109">
        <v>1083.0999999999999</v>
      </c>
      <c r="G29" s="109">
        <v>1041.2</v>
      </c>
      <c r="J29" t="s">
        <v>485</v>
      </c>
    </row>
    <row r="30" spans="1:10" x14ac:dyDescent="0.3">
      <c r="A30" t="s">
        <v>337</v>
      </c>
      <c r="B30" s="18">
        <v>298.3</v>
      </c>
      <c r="D30" s="107" t="s">
        <v>444</v>
      </c>
      <c r="E30" s="108" t="s">
        <v>408</v>
      </c>
      <c r="F30" s="109">
        <v>1083.0999999999999</v>
      </c>
      <c r="G30" s="109">
        <v>1041.2</v>
      </c>
      <c r="J30" t="s">
        <v>487</v>
      </c>
    </row>
    <row r="31" spans="1:10" x14ac:dyDescent="0.3">
      <c r="A31" t="s">
        <v>338</v>
      </c>
      <c r="B31" s="15">
        <v>294.5</v>
      </c>
      <c r="D31" s="107" t="s">
        <v>445</v>
      </c>
      <c r="E31" s="108" t="s">
        <v>408</v>
      </c>
      <c r="F31" s="109">
        <v>1081.0999999999999</v>
      </c>
      <c r="G31" s="109">
        <v>1001.2</v>
      </c>
      <c r="J31" t="s">
        <v>489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1B92-E053-4233-81A5-0B655C210782}">
  <dimension ref="A1:H29"/>
  <sheetViews>
    <sheetView workbookViewId="0">
      <selection activeCell="D20" sqref="D20"/>
    </sheetView>
  </sheetViews>
  <sheetFormatPr defaultRowHeight="14.4" x14ac:dyDescent="0.3"/>
  <sheetData>
    <row r="1" spans="1:8" x14ac:dyDescent="0.3">
      <c r="A1" t="s">
        <v>446</v>
      </c>
      <c r="B1" t="s">
        <v>447</v>
      </c>
      <c r="C1" t="s">
        <v>448</v>
      </c>
      <c r="D1" t="s">
        <v>449</v>
      </c>
      <c r="E1" t="s">
        <v>447</v>
      </c>
      <c r="F1">
        <v>0</v>
      </c>
      <c r="G1" t="s">
        <v>450</v>
      </c>
      <c r="H1" t="s">
        <v>451</v>
      </c>
    </row>
    <row r="2" spans="1:8" x14ac:dyDescent="0.3">
      <c r="A2" t="s">
        <v>234</v>
      </c>
      <c r="B2" t="s">
        <v>447</v>
      </c>
      <c r="C2" t="s">
        <v>448</v>
      </c>
      <c r="D2" t="s">
        <v>452</v>
      </c>
      <c r="E2" t="s">
        <v>447</v>
      </c>
      <c r="F2">
        <v>0</v>
      </c>
      <c r="G2" t="s">
        <v>450</v>
      </c>
      <c r="H2" t="s">
        <v>451</v>
      </c>
    </row>
    <row r="3" spans="1:8" x14ac:dyDescent="0.3">
      <c r="A3" t="s">
        <v>241</v>
      </c>
      <c r="B3" t="s">
        <v>447</v>
      </c>
      <c r="C3" t="s">
        <v>448</v>
      </c>
      <c r="D3" t="s">
        <v>453</v>
      </c>
      <c r="E3" t="s">
        <v>447</v>
      </c>
      <c r="F3">
        <v>0</v>
      </c>
      <c r="G3" t="s">
        <v>450</v>
      </c>
      <c r="H3" t="s">
        <v>451</v>
      </c>
    </row>
    <row r="4" spans="1:8" x14ac:dyDescent="0.3">
      <c r="A4" t="s">
        <v>248</v>
      </c>
      <c r="B4" t="s">
        <v>447</v>
      </c>
      <c r="C4" t="s">
        <v>448</v>
      </c>
      <c r="D4" t="s">
        <v>454</v>
      </c>
      <c r="E4" t="s">
        <v>447</v>
      </c>
      <c r="F4">
        <v>0</v>
      </c>
      <c r="G4" t="s">
        <v>450</v>
      </c>
      <c r="H4" t="s">
        <v>451</v>
      </c>
    </row>
    <row r="5" spans="1:8" x14ac:dyDescent="0.3">
      <c r="A5" t="s">
        <v>255</v>
      </c>
      <c r="B5" t="s">
        <v>447</v>
      </c>
      <c r="C5" t="s">
        <v>448</v>
      </c>
      <c r="D5" t="s">
        <v>455</v>
      </c>
      <c r="E5" t="s">
        <v>447</v>
      </c>
      <c r="F5">
        <v>0</v>
      </c>
      <c r="G5" t="s">
        <v>450</v>
      </c>
      <c r="H5" t="s">
        <v>451</v>
      </c>
    </row>
    <row r="6" spans="1:8" x14ac:dyDescent="0.3">
      <c r="A6" t="s">
        <v>262</v>
      </c>
      <c r="B6" t="s">
        <v>447</v>
      </c>
      <c r="C6" t="s">
        <v>448</v>
      </c>
      <c r="D6" t="s">
        <v>456</v>
      </c>
      <c r="E6" t="s">
        <v>447</v>
      </c>
      <c r="F6">
        <v>0</v>
      </c>
      <c r="G6" t="s">
        <v>450</v>
      </c>
      <c r="H6" t="s">
        <v>451</v>
      </c>
    </row>
    <row r="7" spans="1:8" x14ac:dyDescent="0.3">
      <c r="A7" t="s">
        <v>269</v>
      </c>
      <c r="B7" t="s">
        <v>447</v>
      </c>
      <c r="C7" t="s">
        <v>448</v>
      </c>
      <c r="D7" t="s">
        <v>457</v>
      </c>
      <c r="E7" t="s">
        <v>447</v>
      </c>
      <c r="F7">
        <v>0</v>
      </c>
      <c r="G7" t="s">
        <v>450</v>
      </c>
      <c r="H7" t="s">
        <v>451</v>
      </c>
    </row>
    <row r="8" spans="1:8" x14ac:dyDescent="0.3">
      <c r="A8" t="s">
        <v>276</v>
      </c>
      <c r="B8" t="s">
        <v>447</v>
      </c>
      <c r="C8" t="s">
        <v>448</v>
      </c>
      <c r="D8" t="s">
        <v>458</v>
      </c>
      <c r="E8" t="s">
        <v>447</v>
      </c>
      <c r="F8">
        <v>0</v>
      </c>
      <c r="G8" t="s">
        <v>450</v>
      </c>
      <c r="H8" t="s">
        <v>451</v>
      </c>
    </row>
    <row r="9" spans="1:8" x14ac:dyDescent="0.3">
      <c r="A9" t="s">
        <v>283</v>
      </c>
      <c r="B9" t="s">
        <v>447</v>
      </c>
      <c r="C9" t="s">
        <v>448</v>
      </c>
      <c r="D9" t="s">
        <v>459</v>
      </c>
      <c r="E9" t="s">
        <v>447</v>
      </c>
      <c r="F9">
        <v>0</v>
      </c>
      <c r="G9" t="s">
        <v>450</v>
      </c>
      <c r="H9" t="s">
        <v>451</v>
      </c>
    </row>
    <row r="10" spans="1:8" x14ac:dyDescent="0.3">
      <c r="A10" t="s">
        <v>290</v>
      </c>
      <c r="B10" t="s">
        <v>447</v>
      </c>
      <c r="C10" t="s">
        <v>448</v>
      </c>
      <c r="D10" t="s">
        <v>460</v>
      </c>
      <c r="E10" t="s">
        <v>447</v>
      </c>
      <c r="F10">
        <v>0</v>
      </c>
      <c r="G10" t="s">
        <v>450</v>
      </c>
      <c r="H10" t="s">
        <v>451</v>
      </c>
    </row>
    <row r="11" spans="1:8" x14ac:dyDescent="0.3">
      <c r="A11" t="s">
        <v>297</v>
      </c>
      <c r="B11" t="s">
        <v>447</v>
      </c>
      <c r="C11" t="s">
        <v>448</v>
      </c>
      <c r="D11" t="s">
        <v>461</v>
      </c>
      <c r="E11" t="s">
        <v>447</v>
      </c>
      <c r="F11">
        <v>0</v>
      </c>
      <c r="G11" t="s">
        <v>450</v>
      </c>
      <c r="H11" t="s">
        <v>451</v>
      </c>
    </row>
    <row r="12" spans="1:8" x14ac:dyDescent="0.3">
      <c r="A12" t="s">
        <v>304</v>
      </c>
      <c r="B12" t="s">
        <v>447</v>
      </c>
      <c r="C12" t="s">
        <v>448</v>
      </c>
      <c r="D12" t="s">
        <v>462</v>
      </c>
      <c r="E12" t="s">
        <v>447</v>
      </c>
      <c r="F12">
        <v>0</v>
      </c>
      <c r="G12" t="s">
        <v>450</v>
      </c>
      <c r="H12" t="s">
        <v>451</v>
      </c>
    </row>
    <row r="13" spans="1:8" x14ac:dyDescent="0.3">
      <c r="A13" t="s">
        <v>311</v>
      </c>
      <c r="B13" t="s">
        <v>447</v>
      </c>
      <c r="C13" t="s">
        <v>448</v>
      </c>
      <c r="D13" t="s">
        <v>463</v>
      </c>
      <c r="E13" t="s">
        <v>447</v>
      </c>
      <c r="F13">
        <v>0</v>
      </c>
      <c r="G13" t="s">
        <v>450</v>
      </c>
      <c r="H13" t="s">
        <v>451</v>
      </c>
    </row>
    <row r="14" spans="1:8" x14ac:dyDescent="0.3">
      <c r="A14" t="s">
        <v>318</v>
      </c>
      <c r="B14" t="s">
        <v>447</v>
      </c>
      <c r="C14" t="s">
        <v>448</v>
      </c>
      <c r="D14" t="s">
        <v>464</v>
      </c>
      <c r="E14" t="s">
        <v>447</v>
      </c>
      <c r="F14">
        <v>0</v>
      </c>
      <c r="G14" t="s">
        <v>450</v>
      </c>
      <c r="H14" t="s">
        <v>451</v>
      </c>
    </row>
    <row r="15" spans="1:8" x14ac:dyDescent="0.3">
      <c r="A15" t="s">
        <v>325</v>
      </c>
      <c r="B15" t="s">
        <v>447</v>
      </c>
      <c r="C15" t="s">
        <v>448</v>
      </c>
      <c r="D15" t="s">
        <v>465</v>
      </c>
      <c r="E15" t="s">
        <v>447</v>
      </c>
      <c r="F15">
        <v>0</v>
      </c>
      <c r="G15" t="s">
        <v>450</v>
      </c>
      <c r="H15" t="s">
        <v>451</v>
      </c>
    </row>
    <row r="16" spans="1:8" x14ac:dyDescent="0.3">
      <c r="A16" t="s">
        <v>466</v>
      </c>
      <c r="B16" t="s">
        <v>447</v>
      </c>
      <c r="C16" t="s">
        <v>448</v>
      </c>
      <c r="D16" t="s">
        <v>467</v>
      </c>
      <c r="E16" t="s">
        <v>447</v>
      </c>
      <c r="F16">
        <v>0</v>
      </c>
      <c r="G16" t="s">
        <v>450</v>
      </c>
      <c r="H16" t="s">
        <v>451</v>
      </c>
    </row>
    <row r="17" spans="1:8" x14ac:dyDescent="0.3">
      <c r="A17" t="s">
        <v>468</v>
      </c>
      <c r="B17" t="s">
        <v>447</v>
      </c>
      <c r="C17" t="s">
        <v>448</v>
      </c>
      <c r="D17" t="s">
        <v>469</v>
      </c>
      <c r="E17" t="s">
        <v>447</v>
      </c>
      <c r="F17">
        <v>0</v>
      </c>
      <c r="G17" t="s">
        <v>450</v>
      </c>
      <c r="H17" t="s">
        <v>451</v>
      </c>
    </row>
    <row r="18" spans="1:8" x14ac:dyDescent="0.3">
      <c r="A18" t="s">
        <v>470</v>
      </c>
      <c r="B18" t="s">
        <v>447</v>
      </c>
      <c r="C18" t="s">
        <v>448</v>
      </c>
      <c r="D18" t="s">
        <v>471</v>
      </c>
      <c r="E18" t="s">
        <v>447</v>
      </c>
      <c r="F18">
        <v>0</v>
      </c>
      <c r="G18" t="s">
        <v>450</v>
      </c>
      <c r="H18" t="s">
        <v>451</v>
      </c>
    </row>
    <row r="19" spans="1:8" x14ac:dyDescent="0.3">
      <c r="A19" t="s">
        <v>405</v>
      </c>
      <c r="B19" t="s">
        <v>447</v>
      </c>
      <c r="C19" t="s">
        <v>448</v>
      </c>
      <c r="D19" t="s">
        <v>472</v>
      </c>
      <c r="E19" t="s">
        <v>447</v>
      </c>
      <c r="F19">
        <v>0</v>
      </c>
      <c r="G19" t="s">
        <v>450</v>
      </c>
      <c r="H19" t="s">
        <v>451</v>
      </c>
    </row>
    <row r="20" spans="1:8" x14ac:dyDescent="0.3">
      <c r="A20" t="s">
        <v>406</v>
      </c>
      <c r="B20" t="s">
        <v>447</v>
      </c>
      <c r="C20" t="s">
        <v>448</v>
      </c>
      <c r="D20" t="s">
        <v>473</v>
      </c>
      <c r="E20" t="s">
        <v>447</v>
      </c>
      <c r="F20">
        <v>0</v>
      </c>
      <c r="G20" t="s">
        <v>450</v>
      </c>
      <c r="H20" t="s">
        <v>451</v>
      </c>
    </row>
    <row r="21" spans="1:8" x14ac:dyDescent="0.3">
      <c r="A21" t="s">
        <v>474</v>
      </c>
      <c r="B21" t="s">
        <v>447</v>
      </c>
      <c r="C21" t="s">
        <v>448</v>
      </c>
      <c r="D21" t="s">
        <v>475</v>
      </c>
      <c r="E21" t="s">
        <v>447</v>
      </c>
      <c r="F21">
        <v>0</v>
      </c>
      <c r="G21" t="s">
        <v>450</v>
      </c>
      <c r="H21" t="s">
        <v>451</v>
      </c>
    </row>
    <row r="22" spans="1:8" x14ac:dyDescent="0.3">
      <c r="A22" t="s">
        <v>407</v>
      </c>
      <c r="B22" t="s">
        <v>447</v>
      </c>
      <c r="C22" t="s">
        <v>448</v>
      </c>
      <c r="D22" t="s">
        <v>476</v>
      </c>
      <c r="E22" t="s">
        <v>447</v>
      </c>
      <c r="F22">
        <v>0</v>
      </c>
      <c r="G22" t="s">
        <v>450</v>
      </c>
      <c r="H22" t="s">
        <v>451</v>
      </c>
    </row>
    <row r="23" spans="1:8" x14ac:dyDescent="0.3">
      <c r="A23" t="s">
        <v>409</v>
      </c>
      <c r="B23" t="s">
        <v>447</v>
      </c>
      <c r="C23" t="s">
        <v>448</v>
      </c>
      <c r="D23" t="s">
        <v>477</v>
      </c>
      <c r="E23" t="s">
        <v>447</v>
      </c>
      <c r="F23">
        <v>0</v>
      </c>
      <c r="G23" t="s">
        <v>450</v>
      </c>
      <c r="H23" t="s">
        <v>451</v>
      </c>
    </row>
    <row r="24" spans="1:8" x14ac:dyDescent="0.3">
      <c r="A24" t="s">
        <v>478</v>
      </c>
      <c r="B24" t="s">
        <v>447</v>
      </c>
      <c r="C24" t="s">
        <v>448</v>
      </c>
      <c r="D24" t="s">
        <v>479</v>
      </c>
      <c r="E24" t="s">
        <v>447</v>
      </c>
      <c r="F24">
        <v>0</v>
      </c>
      <c r="G24" t="s">
        <v>450</v>
      </c>
      <c r="H24" t="s">
        <v>451</v>
      </c>
    </row>
    <row r="25" spans="1:8" x14ac:dyDescent="0.3">
      <c r="A25" t="s">
        <v>480</v>
      </c>
      <c r="B25" t="s">
        <v>447</v>
      </c>
      <c r="C25" t="s">
        <v>448</v>
      </c>
      <c r="D25" t="s">
        <v>481</v>
      </c>
      <c r="E25" t="s">
        <v>447</v>
      </c>
      <c r="F25">
        <v>0</v>
      </c>
      <c r="G25" t="s">
        <v>450</v>
      </c>
      <c r="H25" t="s">
        <v>451</v>
      </c>
    </row>
    <row r="26" spans="1:8" x14ac:dyDescent="0.3">
      <c r="A26" t="s">
        <v>482</v>
      </c>
      <c r="B26" t="s">
        <v>447</v>
      </c>
      <c r="C26" t="s">
        <v>448</v>
      </c>
      <c r="D26" t="s">
        <v>483</v>
      </c>
      <c r="E26" t="s">
        <v>447</v>
      </c>
      <c r="F26">
        <v>0</v>
      </c>
      <c r="G26" t="s">
        <v>450</v>
      </c>
      <c r="H26" t="s">
        <v>451</v>
      </c>
    </row>
    <row r="27" spans="1:8" x14ac:dyDescent="0.3">
      <c r="A27" t="s">
        <v>484</v>
      </c>
      <c r="B27" t="s">
        <v>447</v>
      </c>
      <c r="C27" t="s">
        <v>448</v>
      </c>
      <c r="D27" t="s">
        <v>485</v>
      </c>
      <c r="E27" t="s">
        <v>447</v>
      </c>
      <c r="F27">
        <v>0</v>
      </c>
      <c r="G27" t="s">
        <v>450</v>
      </c>
      <c r="H27" t="s">
        <v>451</v>
      </c>
    </row>
    <row r="28" spans="1:8" x14ac:dyDescent="0.3">
      <c r="A28" t="s">
        <v>486</v>
      </c>
      <c r="B28" t="s">
        <v>447</v>
      </c>
      <c r="C28" t="s">
        <v>448</v>
      </c>
      <c r="D28" t="s">
        <v>487</v>
      </c>
      <c r="E28" t="s">
        <v>447</v>
      </c>
      <c r="F28">
        <v>0</v>
      </c>
      <c r="G28" t="s">
        <v>450</v>
      </c>
      <c r="H28" t="s">
        <v>451</v>
      </c>
    </row>
    <row r="29" spans="1:8" x14ac:dyDescent="0.3">
      <c r="A29" t="s">
        <v>488</v>
      </c>
      <c r="B29" t="s">
        <v>447</v>
      </c>
      <c r="C29" t="s">
        <v>448</v>
      </c>
      <c r="D29" t="s">
        <v>489</v>
      </c>
      <c r="E29" t="s">
        <v>447</v>
      </c>
      <c r="F29">
        <v>0</v>
      </c>
      <c r="G29" t="s">
        <v>450</v>
      </c>
      <c r="H29" t="s">
        <v>451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PRICING25</vt:lpstr>
      <vt:lpstr>SM25</vt:lpstr>
      <vt:lpstr>Análise_25nósComSemEstabIntegGe</vt:lpstr>
      <vt:lpstr>FO_CONHECIDA</vt:lpstr>
      <vt:lpstr>Construtiva50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Dieferson gg</dc:creator>
  <cp:lastModifiedBy>Dieferson gg</cp:lastModifiedBy>
  <dcterms:created xsi:type="dcterms:W3CDTF">2026-06-03T22:25:10Z</dcterms:created>
  <dcterms:modified xsi:type="dcterms:W3CDTF">2026-06-25T21:11:45Z</dcterms:modified>
</cp:coreProperties>
</file>